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안내(README)" sheetId="1" state="visible" r:id="rId3"/>
    <sheet name="매출(Revenue)" sheetId="2" state="visible" r:id="rId4"/>
    <sheet name="매출원가(COGS)" sheetId="3" state="visible" r:id="rId5"/>
    <sheet name="판관비(SG&amp;A)" sheetId="4" state="visible" r:id="rId6"/>
    <sheet name="손익계산서(P&amp;L)" sheetId="5" state="visible" r:id="rId7"/>
    <sheet name="현금흐름표(CF)" sheetId="6" state="visible" r:id="rId8"/>
    <sheet name="재무상태표(BS)" sheetId="7" state="visible" r:id="rId9"/>
    <sheet name="KPI(추가검토)" sheetId="8" state="visible" r:id="rId10"/>
    <sheet name="가정(Assumptions)" sheetId="9" state="visible" r:id="rId11"/>
    <sheet name="검토사항(Review)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4" authorId="0">
      <text>
        <r>
          <rPr>
            <sz val="10"/>
            <rFont val="WenQuanYi Zen Hei"/>
            <family val="2"/>
          </rPr>
          <t xml:space="preserve">출처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WenQuanYi Zen Hei"/>
            <family val="2"/>
          </rPr>
          <t xml:space="preserve">주식회사 두위드 표준재무제표증명</t>
        </r>
        <r>
          <rPr>
            <sz val="10"/>
            <rFont val="Arial"/>
            <family val="2"/>
          </rPr>
          <t xml:space="preserve">(2025.05.11~2025.12.31, 2026.04.10 </t>
        </r>
        <r>
          <rPr>
            <sz val="10"/>
            <rFont val="WenQuanYi Zen Hei"/>
            <family val="2"/>
          </rPr>
          <t xml:space="preserve">동대문세무서 발급</t>
        </r>
        <r>
          <rPr>
            <sz val="10"/>
            <rFont val="Arial"/>
            <family val="2"/>
          </rPr>
          <t xml:space="preserve">)</t>
        </r>
      </text>
    </comment>
  </commentList>
</comments>
</file>

<file path=xl/sharedStrings.xml><?xml version="1.0" encoding="utf-8"?>
<sst xmlns="http://schemas.openxmlformats.org/spreadsheetml/2006/main" count="1519" uniqueCount="613">
  <si>
    <r>
      <rPr>
        <b val="true"/>
        <sz val="13"/>
        <rFont val="WenQuanYi Zen Hei"/>
        <family val="2"/>
      </rPr>
      <t xml:space="preserve">두위드</t>
    </r>
    <r>
      <rPr>
        <b val="true"/>
        <sz val="13"/>
        <rFont val="Arial"/>
        <family val="0"/>
        <charset val="1"/>
      </rPr>
      <t xml:space="preserve">(Do With) </t>
    </r>
    <r>
      <rPr>
        <b val="true"/>
        <sz val="13"/>
        <rFont val="WenQuanYi Zen Hei"/>
        <family val="2"/>
      </rPr>
      <t xml:space="preserve">재무 모델링 연습용 </t>
    </r>
    <r>
      <rPr>
        <b val="true"/>
        <sz val="13"/>
        <rFont val="Arial"/>
        <family val="0"/>
        <charset val="1"/>
      </rPr>
      <t xml:space="preserve">36</t>
    </r>
    <r>
      <rPr>
        <b val="true"/>
        <sz val="13"/>
        <rFont val="WenQuanYi Zen Hei"/>
        <family val="2"/>
      </rPr>
      <t xml:space="preserve">개월 데이터</t>
    </r>
  </si>
  <si>
    <r>
      <rPr>
        <sz val="10"/>
        <color rgb="FF000000"/>
        <rFont val="WenQuanYi Zen Hei"/>
        <family val="2"/>
      </rPr>
      <t xml:space="preserve">주식회사 두위드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정보통신업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데이터베이스 및 온라인 정보 제공업 </t>
    </r>
    <r>
      <rPr>
        <sz val="10"/>
        <color rgb="FF000000"/>
        <rFont val="Arial"/>
        <family val="0"/>
        <charset val="1"/>
      </rPr>
      <t xml:space="preserve">· B2C AI SaaS / </t>
    </r>
    <r>
      <rPr>
        <sz val="10"/>
        <color rgb="FF000000"/>
        <rFont val="WenQuanYi Zen Hei"/>
        <family val="2"/>
      </rPr>
      <t xml:space="preserve">마켓플레이스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데이터 플랫폼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국내 개인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법인 고객</t>
    </r>
  </si>
  <si>
    <r>
      <rPr>
        <sz val="10"/>
        <color rgb="FF000000"/>
        <rFont val="WenQuanYi Zen Hei"/>
        <family val="2"/>
      </rPr>
      <t xml:space="preserve">기간</t>
    </r>
    <r>
      <rPr>
        <sz val="10"/>
        <color rgb="FF000000"/>
        <rFont val="Arial"/>
        <family val="0"/>
        <charset val="1"/>
      </rPr>
      <t xml:space="preserve">: 2025-05(</t>
    </r>
    <r>
      <rPr>
        <sz val="10"/>
        <color rgb="FF000000"/>
        <rFont val="WenQuanYi Zen Hei"/>
        <family val="2"/>
      </rPr>
      <t xml:space="preserve">설립</t>
    </r>
    <r>
      <rPr>
        <sz val="10"/>
        <color rgb="FF000000"/>
        <rFont val="Arial"/>
        <family val="0"/>
        <charset val="1"/>
      </rPr>
      <t xml:space="preserve">) ~ 2028-04, 36</t>
    </r>
    <r>
      <rPr>
        <sz val="10"/>
        <color rgb="FF000000"/>
        <rFont val="WenQuanYi Zen Hei"/>
        <family val="2"/>
      </rPr>
      <t xml:space="preserve">개월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단위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원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회계연도</t>
    </r>
    <r>
      <rPr>
        <sz val="10"/>
        <color rgb="FF000000"/>
        <rFont val="Arial"/>
        <family val="0"/>
        <charset val="1"/>
      </rPr>
      <t xml:space="preserve">: 1~12</t>
    </r>
    <r>
      <rPr>
        <sz val="10"/>
        <color rgb="FF000000"/>
        <rFont val="WenQuanYi Zen Hei"/>
        <family val="2"/>
      </rPr>
      <t xml:space="preserve">월</t>
    </r>
  </si>
  <si>
    <r>
      <rPr>
        <b val="true"/>
        <sz val="10"/>
        <rFont val="WenQuanYi Zen Hei"/>
        <family val="2"/>
      </rPr>
      <t xml:space="preserve">데이터 구분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각 시트 </t>
    </r>
    <r>
      <rPr>
        <b val="true"/>
        <sz val="10"/>
        <rFont val="Arial"/>
        <family val="0"/>
        <charset val="1"/>
      </rPr>
      <t xml:space="preserve">4</t>
    </r>
    <r>
      <rPr>
        <b val="true"/>
        <sz val="10"/>
        <rFont val="WenQuanYi Zen Hei"/>
        <family val="2"/>
      </rPr>
      <t xml:space="preserve">행 색상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</si>
  <si>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  회색 </t>
    </r>
    <r>
      <rPr>
        <sz val="10"/>
        <color rgb="FF000000"/>
        <rFont val="Arial"/>
        <family val="0"/>
        <charset val="1"/>
      </rPr>
      <t xml:space="preserve">= </t>
    </r>
    <r>
      <rPr>
        <sz val="10"/>
        <color rgb="FF000000"/>
        <rFont val="WenQuanYi Zen Hei"/>
        <family val="2"/>
      </rPr>
      <t xml:space="preserve">실적배분</t>
    </r>
    <r>
      <rPr>
        <sz val="10"/>
        <color rgb="FF000000"/>
        <rFont val="Arial"/>
        <family val="0"/>
        <charset val="1"/>
      </rPr>
      <t xml:space="preserve">: 2025-05~12</t>
    </r>
    <r>
      <rPr>
        <sz val="10"/>
        <color rgb="FF000000"/>
        <rFont val="WenQuanYi Zen Hei"/>
        <family val="2"/>
      </rPr>
      <t xml:space="preserve">월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연간 합계는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표준재무제표와 원 단위까지 일치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월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세부항목 배분은 가정</t>
    </r>
  </si>
  <si>
    <r>
      <rPr>
        <sz val="10"/>
        <color rgb="FF000000"/>
        <rFont val="WenQuanYi Zen Hei"/>
        <family val="2"/>
      </rPr>
      <t xml:space="preserve">  하늘색 </t>
    </r>
    <r>
      <rPr>
        <sz val="10"/>
        <color rgb="FF000000"/>
        <rFont val="Arial"/>
        <family val="0"/>
        <charset val="1"/>
      </rPr>
      <t xml:space="preserve">= </t>
    </r>
    <r>
      <rPr>
        <sz val="10"/>
        <color rgb="FF000000"/>
        <rFont val="WenQuanYi Zen Hei"/>
        <family val="2"/>
      </rPr>
      <t xml:space="preserve">가상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실적 대체</t>
    </r>
    <r>
      <rPr>
        <sz val="10"/>
        <color rgb="FF000000"/>
        <rFont val="Arial"/>
        <family val="0"/>
        <charset val="1"/>
      </rPr>
      <t xml:space="preserve">): 2026-01~09</t>
    </r>
    <r>
      <rPr>
        <sz val="10"/>
        <color rgb="FF000000"/>
        <rFont val="WenQuanYi Zen Hei"/>
        <family val="2"/>
      </rPr>
      <t xml:space="preserve">월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실제 데이터를 받으면 이 구간부터 교체</t>
    </r>
  </si>
  <si>
    <r>
      <rPr>
        <sz val="10"/>
        <color rgb="FF000000"/>
        <rFont val="WenQuanYi Zen Hei"/>
        <family val="2"/>
      </rPr>
      <t xml:space="preserve">  주황색 </t>
    </r>
    <r>
      <rPr>
        <sz val="10"/>
        <color rgb="FF000000"/>
        <rFont val="Arial"/>
        <family val="0"/>
        <charset val="1"/>
      </rPr>
      <t xml:space="preserve">= </t>
    </r>
    <r>
      <rPr>
        <sz val="10"/>
        <color rgb="FF000000"/>
        <rFont val="WenQuanYi Zen Hei"/>
        <family val="2"/>
      </rPr>
      <t xml:space="preserve">가상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전망</t>
    </r>
    <r>
      <rPr>
        <sz val="10"/>
        <color rgb="FF000000"/>
        <rFont val="Arial"/>
        <family val="0"/>
        <charset val="1"/>
      </rPr>
      <t xml:space="preserve">): 2026-10~2028-04</t>
    </r>
    <r>
      <rPr>
        <sz val="10"/>
        <color rgb="FF000000"/>
        <rFont val="WenQuanYi Zen Hei"/>
        <family val="2"/>
      </rPr>
      <t xml:space="preserve">월</t>
    </r>
  </si>
  <si>
    <r>
      <rPr>
        <sz val="10"/>
        <color rgb="FF000000"/>
        <rFont val="WenQuanYi Zen Hei"/>
        <family val="2"/>
      </rPr>
      <t xml:space="preserve">글자색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파란색 </t>
    </r>
    <r>
      <rPr>
        <sz val="10"/>
        <color rgb="FF000000"/>
        <rFont val="Arial"/>
        <family val="0"/>
        <charset val="1"/>
      </rPr>
      <t xml:space="preserve">= </t>
    </r>
    <r>
      <rPr>
        <sz val="10"/>
        <color rgb="FF000000"/>
        <rFont val="WenQuanYi Zen Hei"/>
        <family val="2"/>
      </rPr>
      <t xml:space="preserve">입력값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데이터</t>
    </r>
    <r>
      <rPr>
        <sz val="10"/>
        <color rgb="FF000000"/>
        <rFont val="Arial"/>
        <family val="0"/>
        <charset val="1"/>
      </rPr>
      <t xml:space="preserve">), </t>
    </r>
    <r>
      <rPr>
        <sz val="10"/>
        <color rgb="FF000000"/>
        <rFont val="WenQuanYi Zen Hei"/>
        <family val="2"/>
      </rPr>
      <t xml:space="preserve">검정 </t>
    </r>
    <r>
      <rPr>
        <sz val="10"/>
        <color rgb="FF000000"/>
        <rFont val="Arial"/>
        <family val="0"/>
        <charset val="1"/>
      </rPr>
      <t xml:space="preserve">= </t>
    </r>
    <r>
      <rPr>
        <sz val="10"/>
        <color rgb="FF000000"/>
        <rFont val="WenQuanYi Zen Hei"/>
        <family val="2"/>
      </rPr>
      <t xml:space="preserve">산식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초록 </t>
    </r>
    <r>
      <rPr>
        <sz val="10"/>
        <color rgb="FF000000"/>
        <rFont val="Arial"/>
        <family val="0"/>
        <charset val="1"/>
      </rPr>
      <t xml:space="preserve">= </t>
    </r>
    <r>
      <rPr>
        <sz val="10"/>
        <color rgb="FF000000"/>
        <rFont val="WenQuanYi Zen Hei"/>
        <family val="2"/>
      </rPr>
      <t xml:space="preserve">다른 시트 연결 산식</t>
    </r>
  </si>
  <si>
    <r>
      <rPr>
        <sz val="10"/>
        <color rgb="FF000000"/>
        <rFont val="WenQuanYi Zen Hei"/>
        <family val="2"/>
      </rPr>
      <t xml:space="preserve">시트 연결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매출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매출원가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판관비 → 손익계산서 → 현금흐름표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간접법</t>
    </r>
    <r>
      <rPr>
        <sz val="10"/>
        <color rgb="FF000000"/>
        <rFont val="Arial"/>
        <family val="0"/>
        <charset val="1"/>
      </rPr>
      <t xml:space="preserve">) → </t>
    </r>
    <r>
      <rPr>
        <sz val="10"/>
        <color rgb="FF000000"/>
        <rFont val="WenQuanYi Zen Hei"/>
        <family val="2"/>
      </rPr>
      <t xml:space="preserve">재무상태표 현금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재무상태표 </t>
    </r>
    <r>
      <rPr>
        <sz val="10"/>
        <color rgb="FF000000"/>
        <rFont val="Arial"/>
        <family val="0"/>
        <charset val="1"/>
      </rPr>
      <t xml:space="preserve">36</t>
    </r>
    <r>
      <rPr>
        <sz val="10"/>
        <color rgb="FF000000"/>
        <rFont val="WenQuanYi Zen Hei"/>
        <family val="2"/>
      </rPr>
      <t xml:space="preserve">행 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검증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이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이면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개 재무제표가 맞물린 것입니다</t>
    </r>
    <r>
      <rPr>
        <sz val="10"/>
        <color rgb="FF000000"/>
        <rFont val="Arial"/>
        <family val="0"/>
        <charset val="1"/>
      </rPr>
      <t xml:space="preserve">.</t>
    </r>
  </si>
  <si>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WenQuanYi Zen Hei"/>
        <family val="2"/>
      </rPr>
      <t xml:space="preserve">표준재무제표 대사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실적 </t>
    </r>
    <r>
      <rPr>
        <b val="true"/>
        <sz val="10"/>
        <rFont val="Arial"/>
        <family val="0"/>
        <charset val="1"/>
      </rPr>
      <t xml:space="preserve">vs </t>
    </r>
    <r>
      <rPr>
        <b val="true"/>
        <sz val="10"/>
        <rFont val="WenQuanYi Zen Hei"/>
        <family val="2"/>
      </rPr>
      <t xml:space="preserve">이 파일</t>
    </r>
    <r>
      <rPr>
        <b val="true"/>
        <sz val="10"/>
        <rFont val="Arial"/>
        <family val="0"/>
        <charset val="1"/>
      </rPr>
      <t xml:space="preserve">)</t>
    </r>
  </si>
  <si>
    <t xml:space="preserve">항목</t>
  </si>
  <si>
    <r>
      <rPr>
        <b val="true"/>
        <sz val="10"/>
        <color rgb="FFFFFFFF"/>
        <rFont val="Arial"/>
        <family val="0"/>
        <charset val="1"/>
      </rPr>
      <t xml:space="preserve">2025 </t>
    </r>
    <r>
      <rPr>
        <b val="true"/>
        <sz val="10"/>
        <color rgb="FFFFFFFF"/>
        <rFont val="WenQuanYi Zen Hei"/>
        <family val="2"/>
      </rPr>
      <t xml:space="preserve">신고 실적</t>
    </r>
  </si>
  <si>
    <r>
      <rPr>
        <b val="true"/>
        <sz val="10"/>
        <color rgb="FFFFFFFF"/>
        <rFont val="WenQuanYi Zen Hei"/>
        <family val="2"/>
      </rPr>
      <t xml:space="preserve">이 파일 </t>
    </r>
    <r>
      <rPr>
        <b val="true"/>
        <sz val="10"/>
        <color rgb="FFFFFFFF"/>
        <rFont val="Arial"/>
        <family val="0"/>
        <charset val="1"/>
      </rPr>
      <t xml:space="preserve">FY2025</t>
    </r>
  </si>
  <si>
    <t xml:space="preserve">차이</t>
  </si>
  <si>
    <t xml:space="preserve">매출액</t>
  </si>
  <si>
    <r>
      <rPr>
        <sz val="10"/>
        <color rgb="FF000000"/>
        <rFont val="WenQuanYi Zen Hei"/>
        <family val="2"/>
      </rPr>
      <t xml:space="preserve">매출원가</t>
    </r>
    <r>
      <rPr>
        <sz val="10"/>
        <color rgb="FF000000"/>
        <rFont val="Arial"/>
        <family val="0"/>
        <charset val="1"/>
      </rPr>
      <t xml:space="preserve">+</t>
    </r>
    <r>
      <rPr>
        <sz val="10"/>
        <color rgb="FF000000"/>
        <rFont val="WenQuanYi Zen Hei"/>
        <family val="2"/>
      </rPr>
      <t xml:space="preserve">판관비</t>
    </r>
  </si>
  <si>
    <t xml:space="preserve">영업손실</t>
  </si>
  <si>
    <t xml:space="preserve">영업외수익</t>
  </si>
  <si>
    <t xml:space="preserve">영업외비용</t>
  </si>
  <si>
    <t xml:space="preserve">당기순손실</t>
  </si>
  <si>
    <r>
      <rPr>
        <sz val="10"/>
        <color rgb="FF000000"/>
        <rFont val="WenQuanYi Zen Hei"/>
        <family val="2"/>
      </rPr>
      <t xml:space="preserve">현금및현금성자산</t>
    </r>
    <r>
      <rPr>
        <sz val="10"/>
        <color rgb="FF000000"/>
        <rFont val="Arial"/>
        <family val="0"/>
        <charset val="1"/>
      </rPr>
      <t xml:space="preserve">(12/31)</t>
    </r>
  </si>
  <si>
    <t xml:space="preserve">자산총계</t>
  </si>
  <si>
    <t xml:space="preserve">부채총계</t>
  </si>
  <si>
    <t xml:space="preserve">자본총계</t>
  </si>
  <si>
    <r>
      <rPr>
        <b val="true"/>
        <sz val="13"/>
        <rFont val="WenQuanYi Zen Hei"/>
        <family val="2"/>
      </rPr>
      <t xml:space="preserve">매출</t>
    </r>
    <r>
      <rPr>
        <b val="true"/>
        <sz val="13"/>
        <rFont val="Arial"/>
        <family val="0"/>
        <charset val="1"/>
      </rPr>
      <t xml:space="preserve">(Revenue) </t>
    </r>
    <r>
      <rPr>
        <b val="true"/>
        <sz val="13"/>
        <rFont val="WenQuanYi Zen Hei"/>
        <family val="2"/>
      </rPr>
      <t xml:space="preserve">월별 상세 </t>
    </r>
    <r>
      <rPr>
        <b val="true"/>
        <sz val="13"/>
        <rFont val="Arial"/>
        <family val="0"/>
        <charset val="1"/>
      </rPr>
      <t xml:space="preserve">(</t>
    </r>
    <r>
      <rPr>
        <b val="true"/>
        <sz val="13"/>
        <rFont val="WenQuanYi Zen Hei"/>
        <family val="2"/>
      </rPr>
      <t xml:space="preserve">단위</t>
    </r>
    <r>
      <rPr>
        <b val="true"/>
        <sz val="13"/>
        <rFont val="Arial"/>
        <family val="0"/>
        <charset val="1"/>
      </rPr>
      <t xml:space="preserve">: </t>
    </r>
    <r>
      <rPr>
        <b val="true"/>
        <sz val="13"/>
        <rFont val="WenQuanYi Zen Hei"/>
        <family val="2"/>
      </rPr>
      <t xml:space="preserve">원</t>
    </r>
    <r>
      <rPr>
        <b val="true"/>
        <sz val="13"/>
        <rFont val="Arial"/>
        <family val="0"/>
        <charset val="1"/>
      </rPr>
      <t xml:space="preserve">, VAT </t>
    </r>
    <r>
      <rPr>
        <b val="true"/>
        <sz val="13"/>
        <rFont val="WenQuanYi Zen Hei"/>
        <family val="2"/>
      </rPr>
      <t xml:space="preserve">별도</t>
    </r>
    <r>
      <rPr>
        <b val="true"/>
        <sz val="13"/>
        <rFont val="Arial"/>
        <family val="0"/>
        <charset val="1"/>
      </rPr>
      <t xml:space="preserve">)</t>
    </r>
  </si>
  <si>
    <r>
      <rPr>
        <i val="true"/>
        <sz val="9"/>
        <color rgb="FF595959"/>
        <rFont val="WenQuanYi Zen Hei"/>
        <family val="2"/>
      </rPr>
      <t xml:space="preserve">※ 분해축</t>
    </r>
    <r>
      <rPr>
        <i val="true"/>
        <sz val="9"/>
        <color rgb="FF595959"/>
        <rFont val="Arial"/>
        <family val="0"/>
        <charset val="1"/>
      </rPr>
      <t xml:space="preserve">: 1)</t>
    </r>
    <r>
      <rPr>
        <i val="true"/>
        <sz val="9"/>
        <color rgb="FF595959"/>
        <rFont val="WenQuanYi Zen Hei"/>
        <family val="2"/>
      </rPr>
      <t xml:space="preserve">사업부문</t>
    </r>
    <r>
      <rPr>
        <i val="true"/>
        <sz val="9"/>
        <color rgb="FF595959"/>
        <rFont val="Arial"/>
        <family val="0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플랜</t>
    </r>
    <r>
      <rPr>
        <i val="true"/>
        <sz val="9"/>
        <color rgb="FF595959"/>
        <rFont val="Arial"/>
        <family val="0"/>
        <charset val="1"/>
      </rPr>
      <t xml:space="preserve">(a: Pro/Max/</t>
    </r>
    <r>
      <rPr>
        <i val="true"/>
        <sz val="9"/>
        <color rgb="FF595959"/>
        <rFont val="WenQuanYi Zen Hei"/>
        <family val="2"/>
      </rPr>
      <t xml:space="preserve">크레딧</t>
    </r>
    <r>
      <rPr>
        <i val="true"/>
        <sz val="9"/>
        <color rgb="FF595959"/>
        <rFont val="Arial"/>
        <family val="0"/>
        <charset val="1"/>
      </rPr>
      <t xml:space="preserve">, b, c) → 2)</t>
    </r>
    <r>
      <rPr>
        <i val="true"/>
        <sz val="9"/>
        <color rgb="FF595959"/>
        <rFont val="WenQuanYi Zen Hei"/>
        <family val="2"/>
      </rPr>
      <t xml:space="preserve">결제주기</t>
    </r>
    <r>
      <rPr>
        <i val="true"/>
        <sz val="9"/>
        <color rgb="FF595959"/>
        <rFont val="Arial"/>
        <family val="0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상품</t>
    </r>
    <r>
      <rPr>
        <i val="true"/>
        <sz val="9"/>
        <color rgb="FF595959"/>
        <rFont val="Arial"/>
        <family val="0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셀러유형 → </t>
    </r>
    <r>
      <rPr>
        <i val="true"/>
        <sz val="9"/>
        <color rgb="FF595959"/>
        <rFont val="Arial"/>
        <family val="0"/>
        <charset val="1"/>
      </rPr>
      <t xml:space="preserve">3)</t>
    </r>
    <r>
      <rPr>
        <i val="true"/>
        <sz val="9"/>
        <color rgb="FF595959"/>
        <rFont val="WenQuanYi Zen Hei"/>
        <family val="2"/>
      </rPr>
      <t xml:space="preserve">고객유형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개인</t>
    </r>
    <r>
      <rPr>
        <i val="true"/>
        <sz val="9"/>
        <color rgb="FF595959"/>
        <rFont val="Arial"/>
        <family val="0"/>
        <charset val="1"/>
      </rPr>
      <t xml:space="preserve">/</t>
    </r>
    <r>
      <rPr>
        <i val="true"/>
        <sz val="9"/>
        <color rgb="FF595959"/>
        <rFont val="WenQuanYi Zen Hei"/>
        <family val="2"/>
      </rPr>
      <t xml:space="preserve">법인</t>
    </r>
    <r>
      <rPr>
        <i val="true"/>
        <sz val="9"/>
        <color rgb="FF595959"/>
        <rFont val="Arial"/>
        <family val="0"/>
        <charset val="1"/>
      </rPr>
      <t xml:space="preserve">). 2025-05~12</t>
    </r>
    <r>
      <rPr>
        <i val="true"/>
        <sz val="9"/>
        <color rgb="FF595959"/>
        <rFont val="WenQuanYi Zen Hei"/>
        <family val="2"/>
      </rPr>
      <t xml:space="preserve">월은 </t>
    </r>
    <r>
      <rPr>
        <i val="true"/>
        <sz val="9"/>
        <color rgb="FF595959"/>
        <rFont val="Arial"/>
        <family val="0"/>
        <charset val="1"/>
      </rPr>
      <t xml:space="preserve">2025 </t>
    </r>
    <r>
      <rPr>
        <i val="true"/>
        <sz val="9"/>
        <color rgb="FF595959"/>
        <rFont val="WenQuanYi Zen Hei"/>
        <family val="2"/>
      </rPr>
      <t xml:space="preserve">표준손익계산서 매출액</t>
    </r>
    <r>
      <rPr>
        <i val="true"/>
        <sz val="9"/>
        <color rgb="FF595959"/>
        <rFont val="Arial"/>
        <family val="0"/>
        <charset val="1"/>
      </rPr>
      <t xml:space="preserve">(37,277,876</t>
    </r>
    <r>
      <rPr>
        <i val="true"/>
        <sz val="9"/>
        <color rgb="FF595959"/>
        <rFont val="WenQuanYi Zen Hei"/>
        <family val="2"/>
      </rPr>
      <t xml:space="preserve">원</t>
    </r>
    <r>
      <rPr>
        <i val="true"/>
        <sz val="9"/>
        <color rgb="FF595959"/>
        <rFont val="Arial"/>
        <family val="0"/>
        <charset val="1"/>
      </rPr>
      <t xml:space="preserve">)</t>
    </r>
    <r>
      <rPr>
        <i val="true"/>
        <sz val="9"/>
        <color rgb="FF595959"/>
        <rFont val="WenQuanYi Zen Hei"/>
        <family val="2"/>
      </rPr>
      <t xml:space="preserve">을 월</t>
    </r>
    <r>
      <rPr>
        <i val="true"/>
        <sz val="9"/>
        <color rgb="FF595959"/>
        <rFont val="Arial"/>
        <family val="0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항목별로 배분한 값</t>
    </r>
    <r>
      <rPr>
        <i val="true"/>
        <sz val="9"/>
        <color rgb="FF595959"/>
        <rFont val="Arial"/>
        <family val="0"/>
        <charset val="1"/>
      </rPr>
      <t xml:space="preserve">, 2026-01 </t>
    </r>
    <r>
      <rPr>
        <i val="true"/>
        <sz val="9"/>
        <color rgb="FF595959"/>
        <rFont val="WenQuanYi Zen Hei"/>
        <family val="2"/>
      </rPr>
      <t xml:space="preserve">이후는 연습용 가상 데이터</t>
    </r>
    <r>
      <rPr>
        <i val="true"/>
        <sz val="9"/>
        <color rgb="FF595959"/>
        <rFont val="Arial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연간구독은 결제액을 </t>
    </r>
    <r>
      <rPr>
        <i val="true"/>
        <sz val="9"/>
        <color rgb="FF595959"/>
        <rFont val="Arial"/>
        <family val="0"/>
        <charset val="1"/>
      </rPr>
      <t xml:space="preserve">12</t>
    </r>
    <r>
      <rPr>
        <i val="true"/>
        <sz val="9"/>
        <color rgb="FF595959"/>
        <rFont val="WenQuanYi Zen Hei"/>
        <family val="2"/>
      </rPr>
      <t xml:space="preserve">개월 안분</t>
    </r>
    <r>
      <rPr>
        <i val="true"/>
        <sz val="9"/>
        <color rgb="FF595959"/>
        <rFont val="Arial"/>
        <family val="0"/>
        <charset val="1"/>
      </rPr>
      <t xml:space="preserve">, </t>
    </r>
    <r>
      <rPr>
        <i val="true"/>
        <sz val="9"/>
        <color rgb="FF595959"/>
        <rFont val="WenQuanYi Zen Hei"/>
        <family val="2"/>
      </rPr>
      <t xml:space="preserve">크레딧은 사용 시 인식</t>
    </r>
    <r>
      <rPr>
        <i val="true"/>
        <sz val="9"/>
        <color rgb="FF595959"/>
        <rFont val="Arial"/>
        <family val="0"/>
        <charset val="1"/>
      </rPr>
      <t xml:space="preserve">, </t>
    </r>
    <r>
      <rPr>
        <i val="true"/>
        <sz val="9"/>
        <color rgb="FF595959"/>
        <rFont val="WenQuanYi Zen Hei"/>
        <family val="2"/>
      </rPr>
      <t xml:space="preserve">입장권은 행사월 인식</t>
    </r>
    <r>
      <rPr>
        <i val="true"/>
        <sz val="9"/>
        <color rgb="FF595959"/>
        <rFont val="Arial"/>
        <family val="0"/>
        <charset val="1"/>
      </rPr>
      <t xml:space="preserve">.</t>
    </r>
  </si>
  <si>
    <r>
      <rPr>
        <b val="true"/>
        <sz val="10"/>
        <color rgb="FFFFFFFF"/>
        <rFont val="WenQuanYi Zen Hei"/>
        <family val="2"/>
      </rPr>
      <t xml:space="preserve">표준재무제표</t>
    </r>
    <r>
      <rPr>
        <b val="true"/>
        <sz val="10"/>
        <color rgb="FFFFFFFF"/>
        <rFont val="Arial"/>
        <family val="0"/>
        <charset val="1"/>
      </rPr>
      <t xml:space="preserve">_</t>
    </r>
    <r>
      <rPr>
        <b val="true"/>
        <sz val="10"/>
        <color rgb="FFFFFFFF"/>
        <rFont val="WenQuanYi Zen Hei"/>
        <family val="2"/>
      </rPr>
      <t xml:space="preserve">계정과목</t>
    </r>
  </si>
  <si>
    <r>
      <rPr>
        <b val="true"/>
        <sz val="10"/>
        <color rgb="FFFFFFFF"/>
        <rFont val="WenQuanYi Zen Hei"/>
        <family val="2"/>
      </rPr>
      <t xml:space="preserve">그룹</t>
    </r>
    <r>
      <rPr>
        <b val="true"/>
        <sz val="10"/>
        <color rgb="FFFFFFFF"/>
        <rFont val="Arial"/>
        <family val="0"/>
        <charset val="1"/>
      </rPr>
      <t xml:space="preserve">(Level1)</t>
    </r>
  </si>
  <si>
    <r>
      <rPr>
        <b val="true"/>
        <sz val="10"/>
        <color rgb="FFFFFFFF"/>
        <rFont val="WenQuanYi Zen Hei"/>
        <family val="2"/>
      </rPr>
      <t xml:space="preserve">중분류</t>
    </r>
    <r>
      <rPr>
        <b val="true"/>
        <sz val="10"/>
        <color rgb="FFFFFFFF"/>
        <rFont val="Arial"/>
        <family val="0"/>
        <charset val="1"/>
      </rPr>
      <t xml:space="preserve">(Level2)</t>
    </r>
  </si>
  <si>
    <r>
      <rPr>
        <b val="true"/>
        <sz val="10"/>
        <color rgb="FFFFFFFF"/>
        <rFont val="WenQuanYi Zen Hei"/>
        <family val="2"/>
      </rPr>
      <t xml:space="preserve">소분류</t>
    </r>
    <r>
      <rPr>
        <b val="true"/>
        <sz val="10"/>
        <color rgb="FFFFFFFF"/>
        <rFont val="Arial"/>
        <family val="0"/>
        <charset val="1"/>
      </rPr>
      <t xml:space="preserve">(Level3)</t>
    </r>
  </si>
  <si>
    <t xml:space="preserve">성격</t>
  </si>
  <si>
    <t xml:space="preserve">2025-05-31</t>
  </si>
  <si>
    <t xml:space="preserve">2025-06-30</t>
  </si>
  <si>
    <t xml:space="preserve">2025-07-31</t>
  </si>
  <si>
    <t xml:space="preserve">2025-08-31</t>
  </si>
  <si>
    <t xml:space="preserve">2025-09-30</t>
  </si>
  <si>
    <t xml:space="preserve">2025-10-31</t>
  </si>
  <si>
    <t xml:space="preserve">2025-11-30</t>
  </si>
  <si>
    <t xml:space="preserve">2025-12-31</t>
  </si>
  <si>
    <t xml:space="preserve">2026-01-31</t>
  </si>
  <si>
    <t xml:space="preserve">2026-02-28</t>
  </si>
  <si>
    <t xml:space="preserve">2026-03-31</t>
  </si>
  <si>
    <t xml:space="preserve">2026-04-30</t>
  </si>
  <si>
    <t xml:space="preserve">2026-05-31</t>
  </si>
  <si>
    <t xml:space="preserve">2026-06-30</t>
  </si>
  <si>
    <t xml:space="preserve">2026-07-31</t>
  </si>
  <si>
    <t xml:space="preserve">2026-08-31</t>
  </si>
  <si>
    <t xml:space="preserve">2026-09-30</t>
  </si>
  <si>
    <t xml:space="preserve">2026-10-31</t>
  </si>
  <si>
    <t xml:space="preserve">2026-11-30</t>
  </si>
  <si>
    <t xml:space="preserve">2026-12-31</t>
  </si>
  <si>
    <t xml:space="preserve">2027-01-31</t>
  </si>
  <si>
    <t xml:space="preserve">2027-02-28</t>
  </si>
  <si>
    <t xml:space="preserve">2027-03-31</t>
  </si>
  <si>
    <t xml:space="preserve">2027-04-30</t>
  </si>
  <si>
    <t xml:space="preserve">2027-05-31</t>
  </si>
  <si>
    <t xml:space="preserve">2027-06-30</t>
  </si>
  <si>
    <t xml:space="preserve">2027-07-31</t>
  </si>
  <si>
    <t xml:space="preserve">2027-08-31</t>
  </si>
  <si>
    <t xml:space="preserve">2027-09-30</t>
  </si>
  <si>
    <t xml:space="preserve">2027-10-31</t>
  </si>
  <si>
    <t xml:space="preserve">2027-11-30</t>
  </si>
  <si>
    <t xml:space="preserve">2027-12-31</t>
  </si>
  <si>
    <t xml:space="preserve">2028-01-31</t>
  </si>
  <si>
    <t xml:space="preserve">2028-02-29</t>
  </si>
  <si>
    <t xml:space="preserve">2028-03-31</t>
  </si>
  <si>
    <t xml:space="preserve">2028-04-30</t>
  </si>
  <si>
    <r>
      <rPr>
        <b val="true"/>
        <sz val="10"/>
        <color rgb="FFFFFFFF"/>
        <rFont val="Arial"/>
        <family val="0"/>
        <charset val="1"/>
      </rPr>
      <t xml:space="preserve">FY2025(5~12</t>
    </r>
    <r>
      <rPr>
        <b val="true"/>
        <sz val="10"/>
        <color rgb="FFFFFFFF"/>
        <rFont val="WenQuanYi Zen Hei"/>
        <family val="2"/>
      </rPr>
      <t xml:space="preserve">월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</si>
  <si>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FY2026</t>
  </si>
  <si>
    <t xml:space="preserve">FY2027</t>
  </si>
  <si>
    <r>
      <rPr>
        <b val="true"/>
        <sz val="10"/>
        <color rgb="FFFFFFFF"/>
        <rFont val="Arial"/>
        <family val="0"/>
        <charset val="1"/>
      </rPr>
      <t xml:space="preserve">FY2028(1~4</t>
    </r>
    <r>
      <rPr>
        <b val="true"/>
        <sz val="10"/>
        <color rgb="FFFFFFFF"/>
        <rFont val="WenQuanYi Zen Hei"/>
        <family val="2"/>
      </rPr>
      <t xml:space="preserve">월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</si>
  <si>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참고</t>
    </r>
    <r>
      <rPr>
        <b val="true"/>
        <sz val="10"/>
        <color rgb="FFFFFFFF"/>
        <rFont val="Arial"/>
        <family val="0"/>
        <charset val="1"/>
      </rPr>
      <t xml:space="preserve">_</t>
    </r>
    <r>
      <rPr>
        <b val="true"/>
        <sz val="10"/>
        <color rgb="FFFFFFFF"/>
        <rFont val="WenQuanYi Zen Hei"/>
        <family val="2"/>
      </rPr>
      <t xml:space="preserve">표준손익계산서 계정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세무신고 매핑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</si>
  <si>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※ 데이터구분</t>
  </si>
  <si>
    <t xml:space="preserve">실적배분</t>
  </si>
  <si>
    <t xml:space="preserve">가상</t>
  </si>
  <si>
    <t xml:space="preserve">연간 집계</t>
  </si>
  <si>
    <r>
      <rPr>
        <sz val="10"/>
        <color rgb="FF000000"/>
        <rFont val="Arial"/>
        <family val="0"/>
        <charset val="1"/>
      </rPr>
      <t xml:space="preserve">[a] AI </t>
    </r>
    <r>
      <rPr>
        <sz val="10"/>
        <color rgb="FF000000"/>
        <rFont val="WenQuanYi Zen Hei"/>
        <family val="2"/>
      </rPr>
      <t xml:space="preserve">취업준비 </t>
    </r>
    <r>
      <rPr>
        <sz val="10"/>
        <color rgb="FF000000"/>
        <rFont val="Arial"/>
        <family val="0"/>
        <charset val="1"/>
      </rPr>
      <t xml:space="preserve">SaaS - Pro </t>
    </r>
    <r>
      <rPr>
        <sz val="10"/>
        <color rgb="FF000000"/>
        <rFont val="WenQuanYi Zen Hei"/>
        <family val="2"/>
      </rPr>
      <t xml:space="preserve">플랜</t>
    </r>
  </si>
  <si>
    <t xml:space="preserve">월간 구독</t>
  </si>
  <si>
    <t xml:space="preserve">개인</t>
  </si>
  <si>
    <t xml:space="preserve">반복</t>
  </si>
  <si>
    <r>
      <rPr>
        <sz val="10"/>
        <color rgb="FF000000"/>
        <rFont val="WenQuanYi Zen Hei"/>
        <family val="2"/>
      </rPr>
      <t xml:space="preserve">매출액 </t>
    </r>
    <r>
      <rPr>
        <sz val="10"/>
        <color rgb="FF000000"/>
        <rFont val="Arial"/>
        <family val="0"/>
        <charset val="1"/>
      </rPr>
      <t xml:space="preserve">(2025 </t>
    </r>
    <r>
      <rPr>
        <sz val="10"/>
        <color rgb="FF000000"/>
        <rFont val="WenQuanYi Zen Hei"/>
        <family val="2"/>
      </rPr>
      <t xml:space="preserve">신고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국내상품매출</t>
    </r>
    <r>
      <rPr>
        <sz val="10"/>
        <color rgb="FF000000"/>
        <rFont val="Arial"/>
        <family val="0"/>
        <charset val="1"/>
      </rPr>
      <t xml:space="preserve">)</t>
    </r>
  </si>
  <si>
    <t xml:space="preserve">법인</t>
  </si>
  <si>
    <t xml:space="preserve">연간 구독</t>
  </si>
  <si>
    <r>
      <rPr>
        <sz val="10"/>
        <color rgb="FF000000"/>
        <rFont val="WenQuanYi Zen Hei"/>
        <family val="2"/>
      </rPr>
      <t xml:space="preserve">반복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연간 선결제 → 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WenQuanYi Zen Hei"/>
        <family val="2"/>
      </rPr>
      <t xml:space="preserve">개월 안분 인식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</si>
  <si>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[a] AI </t>
    </r>
    <r>
      <rPr>
        <sz val="10"/>
        <color rgb="FF000000"/>
        <rFont val="WenQuanYi Zen Hei"/>
        <family val="2"/>
      </rPr>
      <t xml:space="preserve">취업준비 </t>
    </r>
    <r>
      <rPr>
        <sz val="10"/>
        <color rgb="FF000000"/>
        <rFont val="Arial"/>
        <family val="0"/>
        <charset val="1"/>
      </rPr>
      <t xml:space="preserve">SaaS - Max </t>
    </r>
    <r>
      <rPr>
        <sz val="10"/>
        <color rgb="FF000000"/>
        <rFont val="WenQuanYi Zen Hei"/>
        <family val="2"/>
      </rPr>
      <t xml:space="preserve">플랜</t>
    </r>
  </si>
  <si>
    <r>
      <rPr>
        <sz val="10"/>
        <color rgb="FF000000"/>
        <rFont val="Arial"/>
        <family val="0"/>
        <charset val="1"/>
      </rPr>
      <t xml:space="preserve">[a] AI </t>
    </r>
    <r>
      <rPr>
        <sz val="10"/>
        <color rgb="FF000000"/>
        <rFont val="WenQuanYi Zen Hei"/>
        <family val="2"/>
      </rPr>
      <t xml:space="preserve">취업준비 </t>
    </r>
    <r>
      <rPr>
        <sz val="10"/>
        <color rgb="FF000000"/>
        <rFont val="Arial"/>
        <family val="0"/>
        <charset val="1"/>
      </rPr>
      <t xml:space="preserve">SaaS - </t>
    </r>
    <r>
      <rPr>
        <sz val="10"/>
        <color rgb="FF000000"/>
        <rFont val="WenQuanYi Zen Hei"/>
        <family val="2"/>
      </rPr>
      <t xml:space="preserve">크레딧</t>
    </r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</si>
  <si>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회 구매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크레딧 충전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</si>
  <si>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일시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크레딧 사용 시 인식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</si>
  <si>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[b] </t>
    </r>
    <r>
      <rPr>
        <sz val="10"/>
        <color rgb="FF000000"/>
        <rFont val="WenQuanYi Zen Hei"/>
        <family val="2"/>
      </rPr>
      <t xml:space="preserve">전자책 판매 중개수수료</t>
    </r>
  </si>
  <si>
    <t xml:space="preserve">국내</t>
  </si>
  <si>
    <t xml:space="preserve">개인셀러</t>
  </si>
  <si>
    <t xml:space="preserve">판매발생시 발생</t>
  </si>
  <si>
    <t xml:space="preserve">사업자셀러</t>
  </si>
  <si>
    <r>
      <rPr>
        <sz val="10"/>
        <color rgb="FF000000"/>
        <rFont val="Arial"/>
        <family val="0"/>
        <charset val="1"/>
      </rPr>
      <t xml:space="preserve">[b] </t>
    </r>
    <r>
      <rPr>
        <sz val="10"/>
        <color rgb="FF000000"/>
        <rFont val="WenQuanYi Zen Hei"/>
        <family val="2"/>
      </rPr>
      <t xml:space="preserve">강의 판매 중개수수료</t>
    </r>
  </si>
  <si>
    <r>
      <rPr>
        <sz val="10"/>
        <color rgb="FF000000"/>
        <rFont val="Arial"/>
        <family val="0"/>
        <charset val="1"/>
      </rPr>
      <t xml:space="preserve">[c] </t>
    </r>
    <r>
      <rPr>
        <sz val="10"/>
        <color rgb="FF000000"/>
        <rFont val="WenQuanYi Zen Hei"/>
        <family val="2"/>
      </rPr>
      <t xml:space="preserve">자체제작 콘텐츠 판매</t>
    </r>
  </si>
  <si>
    <r>
      <rPr>
        <sz val="10"/>
        <color rgb="FF000000"/>
        <rFont val="WenQuanYi Zen Hei"/>
        <family val="2"/>
      </rPr>
      <t xml:space="preserve">전자책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강의</t>
    </r>
  </si>
  <si>
    <t xml:space="preserve">일시</t>
  </si>
  <si>
    <r>
      <rPr>
        <sz val="10"/>
        <color rgb="FF000000"/>
        <rFont val="WenQuanYi Zen Hei"/>
        <family val="2"/>
      </rPr>
      <t xml:space="preserve">법인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단체구매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</si>
  <si>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[c] </t>
    </r>
    <r>
      <rPr>
        <sz val="10"/>
        <color rgb="FF000000"/>
        <rFont val="WenQuanYi Zen Hei"/>
        <family val="2"/>
      </rPr>
      <t xml:space="preserve">컨퍼런스 입장권</t>
    </r>
  </si>
  <si>
    <t xml:space="preserve">개인 티켓</t>
  </si>
  <si>
    <r>
      <rPr>
        <sz val="10"/>
        <color rgb="FF000000"/>
        <rFont val="WenQuanYi Zen Hei"/>
        <family val="2"/>
      </rPr>
      <t xml:space="preserve">일시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행사일 인식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</si>
  <si>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단체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기업 티켓</t>
    </r>
  </si>
  <si>
    <r>
      <rPr>
        <b val="true"/>
        <sz val="10"/>
        <rFont val="WenQuanYi Zen Hei"/>
        <family val="2"/>
      </rPr>
      <t xml:space="preserve">소계</t>
    </r>
    <r>
      <rPr>
        <b val="true"/>
        <sz val="10"/>
        <rFont val="Arial"/>
        <family val="0"/>
        <charset val="1"/>
      </rPr>
      <t xml:space="preserve">: [a] AI </t>
    </r>
    <r>
      <rPr>
        <b val="true"/>
        <sz val="10"/>
        <rFont val="WenQuanYi Zen Hei"/>
        <family val="2"/>
      </rPr>
      <t xml:space="preserve">취업준비 </t>
    </r>
    <r>
      <rPr>
        <b val="true"/>
        <sz val="10"/>
        <rFont val="Arial"/>
        <family val="0"/>
        <charset val="1"/>
      </rPr>
      <t xml:space="preserve">SaaS</t>
    </r>
  </si>
  <si>
    <r>
      <rPr>
        <b val="true"/>
        <sz val="10"/>
        <rFont val="WenQuanYi Zen Hei"/>
        <family val="2"/>
      </rPr>
      <t xml:space="preserve">소계</t>
    </r>
    <r>
      <rPr>
        <b val="true"/>
        <sz val="10"/>
        <rFont val="Arial"/>
        <family val="0"/>
        <charset val="1"/>
      </rPr>
      <t xml:space="preserve">: [b] </t>
    </r>
    <r>
      <rPr>
        <b val="true"/>
        <sz val="10"/>
        <rFont val="WenQuanYi Zen Hei"/>
        <family val="2"/>
      </rPr>
      <t xml:space="preserve">전자책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강의 중개수수료</t>
    </r>
  </si>
  <si>
    <r>
      <rPr>
        <b val="true"/>
        <sz val="10"/>
        <rFont val="WenQuanYi Zen Hei"/>
        <family val="2"/>
      </rPr>
      <t xml:space="preserve">소계</t>
    </r>
    <r>
      <rPr>
        <b val="true"/>
        <sz val="10"/>
        <rFont val="Arial"/>
        <family val="0"/>
        <charset val="1"/>
      </rPr>
      <t xml:space="preserve">: [c] </t>
    </r>
    <r>
      <rPr>
        <b val="true"/>
        <sz val="10"/>
        <rFont val="WenQuanYi Zen Hei"/>
        <family val="2"/>
      </rPr>
      <t xml:space="preserve">자체 콘텐츠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컨퍼런스</t>
    </r>
  </si>
  <si>
    <r>
      <rPr>
        <b val="true"/>
        <sz val="10"/>
        <rFont val="WenQuanYi Zen Hei"/>
        <family val="2"/>
      </rPr>
      <t xml:space="preserve">합계</t>
    </r>
    <r>
      <rPr>
        <b val="true"/>
        <sz val="10"/>
        <rFont val="Arial"/>
        <family val="0"/>
        <charset val="1"/>
      </rPr>
      <t xml:space="preserve">: </t>
    </r>
    <r>
      <rPr>
        <b val="true"/>
        <sz val="10"/>
        <rFont val="WenQuanYi Zen Hei"/>
        <family val="2"/>
      </rPr>
      <t xml:space="preserve">매출</t>
    </r>
    <r>
      <rPr>
        <b val="true"/>
        <sz val="10"/>
        <rFont val="Arial"/>
        <family val="0"/>
        <charset val="1"/>
      </rPr>
      <t xml:space="preserve">(Revenue)</t>
    </r>
  </si>
  <si>
    <r>
      <rPr>
        <b val="true"/>
        <sz val="13"/>
        <rFont val="WenQuanYi Zen Hei"/>
        <family val="2"/>
      </rPr>
      <t xml:space="preserve">매출원가</t>
    </r>
    <r>
      <rPr>
        <b val="true"/>
        <sz val="13"/>
        <rFont val="Arial"/>
        <family val="0"/>
        <charset val="1"/>
      </rPr>
      <t xml:space="preserve">(COGS) </t>
    </r>
    <r>
      <rPr>
        <b val="true"/>
        <sz val="13"/>
        <rFont val="WenQuanYi Zen Hei"/>
        <family val="2"/>
      </rPr>
      <t xml:space="preserve">월별 상세 </t>
    </r>
    <r>
      <rPr>
        <b val="true"/>
        <sz val="13"/>
        <rFont val="Arial"/>
        <family val="0"/>
        <charset val="1"/>
      </rPr>
      <t xml:space="preserve">(</t>
    </r>
    <r>
      <rPr>
        <b val="true"/>
        <sz val="13"/>
        <rFont val="WenQuanYi Zen Hei"/>
        <family val="2"/>
      </rPr>
      <t xml:space="preserve">단위</t>
    </r>
    <r>
      <rPr>
        <b val="true"/>
        <sz val="13"/>
        <rFont val="Arial"/>
        <family val="0"/>
        <charset val="1"/>
      </rPr>
      <t xml:space="preserve">: </t>
    </r>
    <r>
      <rPr>
        <b val="true"/>
        <sz val="13"/>
        <rFont val="WenQuanYi Zen Hei"/>
        <family val="2"/>
      </rPr>
      <t xml:space="preserve">원</t>
    </r>
    <r>
      <rPr>
        <b val="true"/>
        <sz val="13"/>
        <rFont val="Arial"/>
        <family val="0"/>
        <charset val="1"/>
      </rPr>
      <t xml:space="preserve">)</t>
    </r>
  </si>
  <si>
    <r>
      <rPr>
        <i val="true"/>
        <sz val="9"/>
        <color rgb="FF595959"/>
        <rFont val="Arial"/>
        <family val="0"/>
        <charset val="1"/>
      </rPr>
      <t xml:space="preserve">※ 2025</t>
    </r>
    <r>
      <rPr>
        <i val="true"/>
        <sz val="9"/>
        <color rgb="FF595959"/>
        <rFont val="WenQuanYi Zen Hei"/>
        <family val="2"/>
      </rPr>
      <t xml:space="preserve">년은 신고서상 매출원가 </t>
    </r>
    <r>
      <rPr>
        <i val="true"/>
        <sz val="9"/>
        <color rgb="FF595959"/>
        <rFont val="Arial"/>
        <family val="0"/>
        <charset val="1"/>
      </rPr>
      <t xml:space="preserve">0</t>
    </r>
    <r>
      <rPr>
        <i val="true"/>
        <sz val="9"/>
        <color rgb="FF595959"/>
        <rFont val="WenQuanYi Zen Hei"/>
        <family val="2"/>
      </rPr>
      <t xml:space="preserve">원</t>
    </r>
    <r>
      <rPr>
        <i val="true"/>
        <sz val="9"/>
        <color rgb="FF595959"/>
        <rFont val="Arial"/>
        <family val="0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지급수수료 </t>
    </r>
    <r>
      <rPr>
        <i val="true"/>
        <sz val="9"/>
        <color rgb="FF595959"/>
        <rFont val="Arial"/>
        <family val="0"/>
        <charset val="1"/>
      </rPr>
      <t xml:space="preserve">50,385,211</t>
    </r>
    <r>
      <rPr>
        <i val="true"/>
        <sz val="9"/>
        <color rgb="FF595959"/>
        <rFont val="WenQuanYi Zen Hei"/>
        <family val="2"/>
      </rPr>
      <t xml:space="preserve">원으로 처리된 금액 중 클라우드</t>
    </r>
    <r>
      <rPr>
        <i val="true"/>
        <sz val="9"/>
        <color rgb="FF595959"/>
        <rFont val="Arial"/>
        <family val="0"/>
        <charset val="1"/>
      </rPr>
      <t xml:space="preserve">·LLM·PG·</t>
    </r>
    <r>
      <rPr>
        <i val="true"/>
        <sz val="9"/>
        <color rgb="FF595959"/>
        <rFont val="WenQuanYi Zen Hei"/>
        <family val="2"/>
      </rPr>
      <t xml:space="preserve">행사비를 매출원가로 재분류한 값</t>
    </r>
    <r>
      <rPr>
        <i val="true"/>
        <sz val="9"/>
        <color rgb="FF595959"/>
        <rFont val="Arial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마켓플레이스는 순액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수수료</t>
    </r>
    <r>
      <rPr>
        <i val="true"/>
        <sz val="9"/>
        <color rgb="FF595959"/>
        <rFont val="Arial"/>
        <family val="0"/>
        <charset val="1"/>
      </rPr>
      <t xml:space="preserve">) </t>
    </r>
    <r>
      <rPr>
        <i val="true"/>
        <sz val="9"/>
        <color rgb="FF595959"/>
        <rFont val="WenQuanYi Zen Hei"/>
        <family val="2"/>
      </rPr>
      <t xml:space="preserve">매출 인식을 가정해 </t>
    </r>
    <r>
      <rPr>
        <i val="true"/>
        <sz val="9"/>
        <color rgb="FF595959"/>
        <rFont val="Arial"/>
        <family val="0"/>
        <charset val="1"/>
      </rPr>
      <t xml:space="preserve">'</t>
    </r>
    <r>
      <rPr>
        <i val="true"/>
        <sz val="9"/>
        <color rgb="FF595959"/>
        <rFont val="WenQuanYi Zen Hei"/>
        <family val="2"/>
      </rPr>
      <t xml:space="preserve">제</t>
    </r>
    <r>
      <rPr>
        <i val="true"/>
        <sz val="9"/>
        <color rgb="FF595959"/>
        <rFont val="Arial"/>
        <family val="0"/>
        <charset val="1"/>
      </rPr>
      <t xml:space="preserve">3</t>
    </r>
    <r>
      <rPr>
        <i val="true"/>
        <sz val="9"/>
        <color rgb="FF595959"/>
        <rFont val="WenQuanYi Zen Hei"/>
        <family val="2"/>
      </rPr>
      <t xml:space="preserve">자 판매자 정산대금</t>
    </r>
    <r>
      <rPr>
        <i val="true"/>
        <sz val="9"/>
        <color rgb="FF595959"/>
        <rFont val="Arial"/>
        <family val="0"/>
        <charset val="1"/>
      </rPr>
      <t xml:space="preserve">'</t>
    </r>
    <r>
      <rPr>
        <i val="true"/>
        <sz val="9"/>
        <color rgb="FF595959"/>
        <rFont val="WenQuanYi Zen Hei"/>
        <family val="2"/>
      </rPr>
      <t xml:space="preserve">은 </t>
    </r>
    <r>
      <rPr>
        <i val="true"/>
        <sz val="9"/>
        <color rgb="FF595959"/>
        <rFont val="Arial"/>
        <family val="0"/>
        <charset val="1"/>
      </rPr>
      <t xml:space="preserve">0</t>
    </r>
    <r>
      <rPr>
        <i val="true"/>
        <sz val="9"/>
        <color rgb="FF595959"/>
        <rFont val="WenQuanYi Zen Hei"/>
        <family val="2"/>
      </rPr>
      <t xml:space="preserve">원</t>
    </r>
    <r>
      <rPr>
        <i val="true"/>
        <sz val="9"/>
        <color rgb="FF595959"/>
        <rFont val="Arial"/>
        <family val="0"/>
        <charset val="1"/>
      </rPr>
      <t xml:space="preserve">, </t>
    </r>
    <r>
      <rPr>
        <i val="true"/>
        <sz val="9"/>
        <color rgb="FF595959"/>
        <rFont val="WenQuanYi Zen Hei"/>
        <family val="2"/>
      </rPr>
      <t xml:space="preserve">정산대금은 재무상태표 </t>
    </r>
    <r>
      <rPr>
        <i val="true"/>
        <sz val="9"/>
        <color rgb="FF595959"/>
        <rFont val="Arial"/>
        <family val="0"/>
        <charset val="1"/>
      </rPr>
      <t xml:space="preserve">'</t>
    </r>
    <r>
      <rPr>
        <i val="true"/>
        <sz val="9"/>
        <color rgb="FF595959"/>
        <rFont val="WenQuanYi Zen Hei"/>
        <family val="2"/>
      </rPr>
      <t xml:space="preserve">셀러 정산 예수금</t>
    </r>
    <r>
      <rPr>
        <i val="true"/>
        <sz val="9"/>
        <color rgb="FF595959"/>
        <rFont val="Arial"/>
        <family val="0"/>
        <charset val="1"/>
      </rPr>
      <t xml:space="preserve">'</t>
    </r>
    <r>
      <rPr>
        <i val="true"/>
        <sz val="9"/>
        <color rgb="FF595959"/>
        <rFont val="WenQuanYi Zen Hei"/>
        <family val="2"/>
      </rPr>
      <t xml:space="preserve">으로 관리</t>
    </r>
    <r>
      <rPr>
        <i val="true"/>
        <sz val="9"/>
        <color rgb="FF595959"/>
        <rFont val="Arial"/>
        <family val="0"/>
        <charset val="1"/>
      </rPr>
      <t xml:space="preserve">.</t>
    </r>
  </si>
  <si>
    <t xml:space="preserve">매출원가</t>
  </si>
  <si>
    <t xml:space="preserve">인프라비용</t>
  </si>
  <si>
    <r>
      <rPr>
        <sz val="10"/>
        <color rgb="FF000000"/>
        <rFont val="WenQuanYi Zen Hei"/>
        <family val="2"/>
      </rPr>
      <t xml:space="preserve">클라우드 인프라</t>
    </r>
    <r>
      <rPr>
        <sz val="10"/>
        <color rgb="FF000000"/>
        <rFont val="Arial"/>
        <family val="0"/>
        <charset val="1"/>
      </rPr>
      <t xml:space="preserve">(AWS·Vercel)</t>
    </r>
  </si>
  <si>
    <r>
      <rPr>
        <sz val="10"/>
        <color rgb="FF000000"/>
        <rFont val="Arial"/>
        <family val="0"/>
        <charset val="1"/>
      </rPr>
      <t xml:space="preserve">[a] AI </t>
    </r>
    <r>
      <rPr>
        <sz val="10"/>
        <color rgb="FF000000"/>
        <rFont val="WenQuanYi Zen Hei"/>
        <family val="2"/>
      </rPr>
      <t xml:space="preserve">취업준비 </t>
    </r>
    <r>
      <rPr>
        <sz val="10"/>
        <color rgb="FF000000"/>
        <rFont val="Arial"/>
        <family val="0"/>
        <charset val="1"/>
      </rPr>
      <t xml:space="preserve">SaaS (</t>
    </r>
    <r>
      <rPr>
        <sz val="10"/>
        <color rgb="FF000000"/>
        <rFont val="WenQuanYi Zen Hei"/>
        <family val="2"/>
      </rPr>
      <t xml:space="preserve">리소스 태그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프로젝트 기준</t>
    </r>
    <r>
      <rPr>
        <sz val="10"/>
        <color rgb="FF000000"/>
        <rFont val="Arial"/>
        <family val="0"/>
        <charset val="1"/>
      </rPr>
      <t xml:space="preserve">)</t>
    </r>
  </si>
  <si>
    <t xml:space="preserve">변동</t>
  </si>
  <si>
    <r>
      <rPr>
        <sz val="10"/>
        <color rgb="FF000000"/>
        <rFont val="WenQuanYi Zen Hei"/>
        <family val="2"/>
      </rPr>
      <t xml:space="preserve">매출원가 </t>
    </r>
    <r>
      <rPr>
        <sz val="10"/>
        <color rgb="FF000000"/>
        <rFont val="Arial"/>
        <family val="0"/>
        <charset val="1"/>
      </rPr>
      <t xml:space="preserve">&gt; </t>
    </r>
    <r>
      <rPr>
        <sz val="10"/>
        <color rgb="FF000000"/>
        <rFont val="WenQuanYi Zen Hei"/>
        <family val="2"/>
      </rPr>
      <t xml:space="preserve">지급수수료</t>
    </r>
  </si>
  <si>
    <r>
      <rPr>
        <sz val="10"/>
        <color rgb="FF000000"/>
        <rFont val="Arial"/>
        <family val="0"/>
        <charset val="1"/>
      </rPr>
      <t xml:space="preserve">AI</t>
    </r>
    <r>
      <rPr>
        <sz val="10"/>
        <color rgb="FF000000"/>
        <rFont val="WenQuanYi Zen Hei"/>
        <family val="2"/>
      </rPr>
      <t xml:space="preserve">비용</t>
    </r>
  </si>
  <si>
    <r>
      <rPr>
        <sz val="10"/>
        <color rgb="FF000000"/>
        <rFont val="Arial"/>
        <family val="0"/>
        <charset val="1"/>
      </rPr>
      <t xml:space="preserve">LLM </t>
    </r>
    <r>
      <rPr>
        <sz val="10"/>
        <color rgb="FF000000"/>
        <rFont val="WenQuanYi Zen Hei"/>
        <family val="2"/>
      </rPr>
      <t xml:space="preserve">토큰비용</t>
    </r>
    <r>
      <rPr>
        <sz val="10"/>
        <color rgb="FF000000"/>
        <rFont val="Arial"/>
        <family val="0"/>
        <charset val="1"/>
      </rPr>
      <t xml:space="preserve">(OpenAI GPT·Anthropic Claude API)</t>
    </r>
  </si>
  <si>
    <r>
      <rPr>
        <sz val="10"/>
        <color rgb="FF000000"/>
        <rFont val="Arial"/>
        <family val="0"/>
        <charset val="1"/>
      </rPr>
      <t xml:space="preserve">[a] AI </t>
    </r>
    <r>
      <rPr>
        <sz val="10"/>
        <color rgb="FF000000"/>
        <rFont val="WenQuanYi Zen Hei"/>
        <family val="2"/>
      </rPr>
      <t xml:space="preserve">취업준비 </t>
    </r>
    <r>
      <rPr>
        <sz val="10"/>
        <color rgb="FF000000"/>
        <rFont val="Arial"/>
        <family val="0"/>
        <charset val="1"/>
      </rPr>
      <t xml:space="preserve">SaaS </t>
    </r>
    <r>
      <rPr>
        <sz val="10"/>
        <color rgb="FF000000"/>
        <rFont val="WenQuanYi Zen Hei"/>
        <family val="2"/>
      </rPr>
      <t xml:space="preserve">직접대응</t>
    </r>
  </si>
  <si>
    <t xml:space="preserve">결제비용</t>
  </si>
  <si>
    <r>
      <rPr>
        <sz val="10"/>
        <color rgb="FF000000"/>
        <rFont val="Arial"/>
        <family val="0"/>
        <charset val="1"/>
      </rPr>
      <t xml:space="preserve">PG </t>
    </r>
    <r>
      <rPr>
        <sz val="10"/>
        <color rgb="FF000000"/>
        <rFont val="WenQuanYi Zen Hei"/>
        <family val="2"/>
      </rPr>
      <t xml:space="preserve">카드결제 수수료</t>
    </r>
  </si>
  <si>
    <r>
      <rPr>
        <sz val="10"/>
        <color rgb="FF000000"/>
        <rFont val="Arial"/>
        <family val="0"/>
        <charset val="1"/>
      </rPr>
      <t xml:space="preserve">[b] </t>
    </r>
    <r>
      <rPr>
        <sz val="10"/>
        <color rgb="FF000000"/>
        <rFont val="WenQuanYi Zen Hei"/>
        <family val="2"/>
      </rPr>
      <t xml:space="preserve">콘텐츠 중개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리소스 태그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프로젝트 기준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</si>
  <si>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[b] </t>
    </r>
    <r>
      <rPr>
        <sz val="10"/>
        <color rgb="FF000000"/>
        <rFont val="WenQuanYi Zen Hei"/>
        <family val="2"/>
      </rPr>
      <t xml:space="preserve">콘텐츠 중개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거래액 기준</t>
    </r>
    <r>
      <rPr>
        <sz val="10"/>
        <color rgb="FF000000"/>
        <rFont val="Arial"/>
        <family val="0"/>
        <charset val="1"/>
      </rPr>
      <t xml:space="preserve">)</t>
    </r>
  </si>
  <si>
    <t xml:space="preserve">판매자정산</t>
  </si>
  <si>
    <r>
      <rPr>
        <sz val="10"/>
        <color rgb="FF000000"/>
        <rFont val="WenQuanYi Zen Hei"/>
        <family val="2"/>
      </rPr>
      <t xml:space="preserve">제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자 판매자 정산대금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총액 매출 인식 시에만 사용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</si>
  <si>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[b] </t>
    </r>
    <r>
      <rPr>
        <sz val="10"/>
        <color rgb="FF000000"/>
        <rFont val="WenQuanYi Zen Hei"/>
        <family val="2"/>
      </rPr>
      <t xml:space="preserve">콘텐츠 중개 직접대응</t>
    </r>
  </si>
  <si>
    <r>
      <rPr>
        <sz val="10"/>
        <color rgb="FF000000"/>
        <rFont val="WenQuanYi Zen Hei"/>
        <family val="2"/>
      </rPr>
      <t xml:space="preserve">매출원가 </t>
    </r>
    <r>
      <rPr>
        <sz val="10"/>
        <color rgb="FF000000"/>
        <rFont val="Arial"/>
        <family val="0"/>
        <charset val="1"/>
      </rPr>
      <t xml:space="preserve">&gt; </t>
    </r>
    <r>
      <rPr>
        <sz val="10"/>
        <color rgb="FF000000"/>
        <rFont val="WenQuanYi Zen Hei"/>
        <family val="2"/>
      </rPr>
      <t xml:space="preserve">상품매출원가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순액 인식 시 손익 외 처리</t>
    </r>
    <r>
      <rPr>
        <sz val="10"/>
        <color rgb="FF000000"/>
        <rFont val="Arial"/>
        <family val="0"/>
        <charset val="1"/>
      </rPr>
      <t xml:space="preserve">)</t>
    </r>
  </si>
  <si>
    <t xml:space="preserve">운영원가</t>
  </si>
  <si>
    <r>
      <rPr>
        <sz val="10"/>
        <color rgb="FF000000"/>
        <rFont val="WenQuanYi Zen Hei"/>
        <family val="2"/>
      </rPr>
      <t xml:space="preserve">셀러 온보딩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창구 운영비</t>
    </r>
  </si>
  <si>
    <t xml:space="preserve">고정</t>
  </si>
  <si>
    <r>
      <rPr>
        <sz val="10"/>
        <color rgb="FF000000"/>
        <rFont val="Arial"/>
        <family val="0"/>
        <charset val="1"/>
      </rPr>
      <t xml:space="preserve">CS </t>
    </r>
    <r>
      <rPr>
        <sz val="10"/>
        <color rgb="FF000000"/>
        <rFont val="WenQuanYi Zen Hei"/>
        <family val="2"/>
      </rPr>
      <t xml:space="preserve">소프트웨어 구독료</t>
    </r>
  </si>
  <si>
    <t xml:space="preserve">기타 마켓플레이스 운영비</t>
  </si>
  <si>
    <t xml:space="preserve">행사원가</t>
  </si>
  <si>
    <t xml:space="preserve">장소 대관료</t>
  </si>
  <si>
    <r>
      <rPr>
        <sz val="10"/>
        <color rgb="FF000000"/>
        <rFont val="Arial"/>
        <family val="0"/>
        <charset val="1"/>
      </rPr>
      <t xml:space="preserve">[c] </t>
    </r>
    <r>
      <rPr>
        <sz val="10"/>
        <color rgb="FF000000"/>
        <rFont val="WenQuanYi Zen Hei"/>
        <family val="2"/>
      </rPr>
      <t xml:space="preserve">컨퍼런스 직접대응</t>
    </r>
  </si>
  <si>
    <r>
      <rPr>
        <sz val="10"/>
        <color rgb="FF000000"/>
        <rFont val="WenQuanYi Zen Hei"/>
        <family val="2"/>
      </rPr>
      <t xml:space="preserve">매출원가 </t>
    </r>
    <r>
      <rPr>
        <sz val="10"/>
        <color rgb="FF000000"/>
        <rFont val="Arial"/>
        <family val="0"/>
        <charset val="1"/>
      </rPr>
      <t xml:space="preserve">&gt; </t>
    </r>
    <r>
      <rPr>
        <sz val="10"/>
        <color rgb="FF000000"/>
        <rFont val="WenQuanYi Zen Hei"/>
        <family val="2"/>
      </rPr>
      <t xml:space="preserve">임차료</t>
    </r>
  </si>
  <si>
    <r>
      <rPr>
        <sz val="10"/>
        <color rgb="FF000000"/>
        <rFont val="WenQuanYi Zen Hei"/>
        <family val="2"/>
      </rPr>
      <t xml:space="preserve">행사 장치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시설비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무대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음향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영상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</si>
  <si>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매출원가 </t>
    </r>
    <r>
      <rPr>
        <sz val="10"/>
        <color rgb="FF000000"/>
        <rFont val="Arial"/>
        <family val="0"/>
        <charset val="1"/>
      </rPr>
      <t xml:space="preserve">&gt; </t>
    </r>
    <r>
      <rPr>
        <sz val="10"/>
        <color rgb="FF000000"/>
        <rFont val="WenQuanYi Zen Hei"/>
        <family val="2"/>
      </rPr>
      <t xml:space="preserve">외주용역비</t>
    </r>
  </si>
  <si>
    <r>
      <rPr>
        <sz val="10"/>
        <color rgb="FF000000"/>
        <rFont val="Arial"/>
        <family val="0"/>
        <charset val="1"/>
      </rPr>
      <t xml:space="preserve">[c] </t>
    </r>
    <r>
      <rPr>
        <sz val="10"/>
        <color rgb="FF000000"/>
        <rFont val="WenQuanYi Zen Hei"/>
        <family val="2"/>
      </rPr>
      <t xml:space="preserve">자체 콘텐츠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컨퍼런스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콘텐츠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입장권 결제액 기준</t>
    </r>
    <r>
      <rPr>
        <sz val="10"/>
        <color rgb="FF000000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</si>
  <si>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소계</t>
    </r>
    <r>
      <rPr>
        <b val="true"/>
        <sz val="10"/>
        <rFont val="Arial"/>
        <family val="0"/>
        <charset val="1"/>
      </rPr>
      <t xml:space="preserve">: [b] </t>
    </r>
    <r>
      <rPr>
        <b val="true"/>
        <sz val="10"/>
        <rFont val="WenQuanYi Zen Hei"/>
        <family val="2"/>
      </rPr>
      <t xml:space="preserve">콘텐츠 중개</t>
    </r>
  </si>
  <si>
    <r>
      <rPr>
        <b val="true"/>
        <sz val="10"/>
        <rFont val="WenQuanYi Zen Hei"/>
        <family val="2"/>
      </rPr>
      <t xml:space="preserve">합계</t>
    </r>
    <r>
      <rPr>
        <b val="true"/>
        <sz val="10"/>
        <rFont val="Arial"/>
        <family val="0"/>
        <charset val="1"/>
      </rPr>
      <t xml:space="preserve">: </t>
    </r>
    <r>
      <rPr>
        <b val="true"/>
        <sz val="10"/>
        <rFont val="WenQuanYi Zen Hei"/>
        <family val="2"/>
      </rPr>
      <t xml:space="preserve">매출원가</t>
    </r>
    <r>
      <rPr>
        <b val="true"/>
        <sz val="10"/>
        <rFont val="Arial"/>
        <family val="0"/>
        <charset val="1"/>
      </rPr>
      <t xml:space="preserve">(COGS)</t>
    </r>
  </si>
  <si>
    <r>
      <rPr>
        <b val="true"/>
        <sz val="13"/>
        <rFont val="WenQuanYi Zen Hei"/>
        <family val="2"/>
      </rPr>
      <t xml:space="preserve">판관비</t>
    </r>
    <r>
      <rPr>
        <b val="true"/>
        <sz val="13"/>
        <rFont val="Arial"/>
        <family val="0"/>
        <charset val="1"/>
      </rPr>
      <t xml:space="preserve">(SG&amp;A) </t>
    </r>
    <r>
      <rPr>
        <b val="true"/>
        <sz val="13"/>
        <rFont val="WenQuanYi Zen Hei"/>
        <family val="2"/>
      </rPr>
      <t xml:space="preserve">월별 상세 </t>
    </r>
    <r>
      <rPr>
        <b val="true"/>
        <sz val="13"/>
        <rFont val="Arial"/>
        <family val="0"/>
        <charset val="1"/>
      </rPr>
      <t xml:space="preserve">(</t>
    </r>
    <r>
      <rPr>
        <b val="true"/>
        <sz val="13"/>
        <rFont val="WenQuanYi Zen Hei"/>
        <family val="2"/>
      </rPr>
      <t xml:space="preserve">단위</t>
    </r>
    <r>
      <rPr>
        <b val="true"/>
        <sz val="13"/>
        <rFont val="Arial"/>
        <family val="0"/>
        <charset val="1"/>
      </rPr>
      <t xml:space="preserve">: </t>
    </r>
    <r>
      <rPr>
        <b val="true"/>
        <sz val="13"/>
        <rFont val="WenQuanYi Zen Hei"/>
        <family val="2"/>
      </rPr>
      <t xml:space="preserve">원</t>
    </r>
    <r>
      <rPr>
        <b val="true"/>
        <sz val="13"/>
        <rFont val="Arial"/>
        <family val="0"/>
        <charset val="1"/>
      </rPr>
      <t xml:space="preserve">)</t>
    </r>
  </si>
  <si>
    <r>
      <rPr>
        <i val="true"/>
        <sz val="9"/>
        <color rgb="FF595959"/>
        <rFont val="Arial"/>
        <family val="0"/>
        <charset val="1"/>
      </rPr>
      <t xml:space="preserve">※ 2025</t>
    </r>
    <r>
      <rPr>
        <i val="true"/>
        <sz val="9"/>
        <color rgb="FF595959"/>
        <rFont val="WenQuanYi Zen Hei"/>
        <family val="2"/>
      </rPr>
      <t xml:space="preserve">년은 표준손익계산서 판관비 계정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급여</t>
    </r>
    <r>
      <rPr>
        <i val="true"/>
        <sz val="9"/>
        <color rgb="FF595959"/>
        <rFont val="Arial"/>
        <family val="0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보험료</t>
    </r>
    <r>
      <rPr>
        <i val="true"/>
        <sz val="9"/>
        <color rgb="FF595959"/>
        <rFont val="Arial"/>
        <family val="0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복리후생비</t>
    </r>
    <r>
      <rPr>
        <i val="true"/>
        <sz val="9"/>
        <color rgb="FF595959"/>
        <rFont val="Arial"/>
        <family val="0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여비교통비</t>
    </r>
    <r>
      <rPr>
        <i val="true"/>
        <sz val="9"/>
        <color rgb="FF595959"/>
        <rFont val="Arial"/>
        <family val="0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기업업무추진비</t>
    </r>
    <r>
      <rPr>
        <i val="true"/>
        <sz val="9"/>
        <color rgb="FF595959"/>
        <rFont val="Arial"/>
        <family val="0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세금과공과</t>
    </r>
    <r>
      <rPr>
        <i val="true"/>
        <sz val="9"/>
        <color rgb="FF595959"/>
        <rFont val="Arial"/>
        <family val="0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지급수수료</t>
    </r>
    <r>
      <rPr>
        <i val="true"/>
        <sz val="9"/>
        <color rgb="FF595959"/>
        <rFont val="Arial"/>
        <family val="0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소모품비</t>
    </r>
    <r>
      <rPr>
        <i val="true"/>
        <sz val="9"/>
        <color rgb="FF595959"/>
        <rFont val="Arial"/>
        <family val="0"/>
        <charset val="1"/>
      </rPr>
      <t xml:space="preserve">)</t>
    </r>
    <r>
      <rPr>
        <i val="true"/>
        <sz val="9"/>
        <color rgb="FF595959"/>
        <rFont val="WenQuanYi Zen Hei"/>
        <family val="2"/>
      </rPr>
      <t xml:space="preserve">을 </t>
    </r>
    <r>
      <rPr>
        <i val="true"/>
        <sz val="9"/>
        <color rgb="FF595959"/>
        <rFont val="Arial"/>
        <family val="0"/>
        <charset val="1"/>
      </rPr>
      <t xml:space="preserve">5</t>
    </r>
    <r>
      <rPr>
        <i val="true"/>
        <sz val="9"/>
        <color rgb="FF595959"/>
        <rFont val="WenQuanYi Zen Hei"/>
        <family val="2"/>
      </rPr>
      <t xml:space="preserve">대 그룹으로 재분류</t>
    </r>
    <r>
      <rPr>
        <i val="true"/>
        <sz val="9"/>
        <color rgb="FF595959"/>
        <rFont val="Arial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지급수수료 중 매출원가</t>
    </r>
    <r>
      <rPr>
        <i val="true"/>
        <sz val="9"/>
        <color rgb="FF595959"/>
        <rFont val="Arial"/>
        <family val="0"/>
        <charset val="1"/>
      </rPr>
      <t xml:space="preserve">·SaaS·</t>
    </r>
    <r>
      <rPr>
        <i val="true"/>
        <sz val="9"/>
        <color rgb="FF595959"/>
        <rFont val="WenQuanYi Zen Hei"/>
        <family val="2"/>
      </rPr>
      <t xml:space="preserve">자문</t>
    </r>
    <r>
      <rPr>
        <i val="true"/>
        <sz val="9"/>
        <color rgb="FF595959"/>
        <rFont val="Arial"/>
        <family val="0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광고 외 잔액은 </t>
    </r>
    <r>
      <rPr>
        <i val="true"/>
        <sz val="9"/>
        <color rgb="FF595959"/>
        <rFont val="Arial"/>
        <family val="0"/>
        <charset val="1"/>
      </rPr>
      <t xml:space="preserve">MVP </t>
    </r>
    <r>
      <rPr>
        <i val="true"/>
        <sz val="9"/>
        <color rgb="FF595959"/>
        <rFont val="WenQuanYi Zen Hei"/>
        <family val="2"/>
      </rPr>
      <t xml:space="preserve">외주 개발비</t>
    </r>
    <r>
      <rPr>
        <i val="true"/>
        <sz val="9"/>
        <color rgb="FF595959"/>
        <rFont val="Arial"/>
        <family val="0"/>
        <charset val="1"/>
      </rPr>
      <t xml:space="preserve">(R&amp;D)</t>
    </r>
    <r>
      <rPr>
        <i val="true"/>
        <sz val="9"/>
        <color rgb="FF595959"/>
        <rFont val="WenQuanYi Zen Hei"/>
        <family val="2"/>
      </rPr>
      <t xml:space="preserve">로 가정</t>
    </r>
    <r>
      <rPr>
        <i val="true"/>
        <sz val="9"/>
        <color rgb="FF595959"/>
        <rFont val="Arial"/>
        <family val="0"/>
        <charset val="1"/>
      </rPr>
      <t xml:space="preserve">.</t>
    </r>
  </si>
  <si>
    <t xml:space="preserve">판매비와관리비</t>
  </si>
  <si>
    <r>
      <rPr>
        <sz val="10"/>
        <color rgb="FF000000"/>
        <rFont val="Arial"/>
        <family val="0"/>
        <charset val="1"/>
      </rPr>
      <t xml:space="preserve">Labor Costs(</t>
    </r>
    <r>
      <rPr>
        <sz val="10"/>
        <color rgb="FF000000"/>
        <rFont val="WenQuanYi Zen Hei"/>
        <family val="2"/>
      </rPr>
      <t xml:space="preserve">인건비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</si>
  <si>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부서별 급여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인원은 </t>
    </r>
    <r>
      <rPr>
        <sz val="10"/>
        <color rgb="FF000000"/>
        <rFont val="Arial"/>
        <family val="0"/>
        <charset val="1"/>
      </rPr>
      <t xml:space="preserve">KPI </t>
    </r>
    <r>
      <rPr>
        <sz val="10"/>
        <color rgb="FF000000"/>
        <rFont val="WenQuanYi Zen Hei"/>
        <family val="2"/>
      </rPr>
      <t xml:space="preserve">시트 참조</t>
    </r>
    <r>
      <rPr>
        <sz val="10"/>
        <color rgb="FF000000"/>
        <rFont val="Arial"/>
        <family val="0"/>
        <charset val="1"/>
      </rPr>
      <t xml:space="preserve">)</t>
    </r>
  </si>
  <si>
    <t xml:space="preserve">개발조직 급여</t>
  </si>
  <si>
    <r>
      <rPr>
        <sz val="10"/>
        <color rgb="FF000000"/>
        <rFont val="WenQuanYi Zen Hei"/>
        <family val="2"/>
      </rPr>
      <t xml:space="preserve">급여 </t>
    </r>
    <r>
      <rPr>
        <sz val="10"/>
        <color rgb="FF000000"/>
        <rFont val="Arial"/>
        <family val="0"/>
        <charset val="1"/>
      </rPr>
      <t xml:space="preserve">&gt; </t>
    </r>
    <r>
      <rPr>
        <sz val="10"/>
        <color rgb="FF000000"/>
        <rFont val="WenQuanYi Zen Hei"/>
        <family val="2"/>
      </rPr>
      <t xml:space="preserve">직원급여</t>
    </r>
  </si>
  <si>
    <r>
      <rPr>
        <sz val="10"/>
        <color rgb="FF000000"/>
        <rFont val="WenQuanYi Zen Hei"/>
        <family val="2"/>
      </rPr>
      <t xml:space="preserve">사업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마케팅조직 급여</t>
    </r>
  </si>
  <si>
    <r>
      <rPr>
        <sz val="10"/>
        <color rgb="FF000000"/>
        <rFont val="WenQuanYi Zen Hei"/>
        <family val="2"/>
      </rPr>
      <t xml:space="preserve">경영지원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운영조직 급여</t>
    </r>
  </si>
  <si>
    <t xml:space="preserve">퇴직급여</t>
  </si>
  <si>
    <r>
      <rPr>
        <sz val="10"/>
        <color rgb="FF000000"/>
        <rFont val="WenQuanYi Zen Hei"/>
        <family val="2"/>
      </rPr>
      <t xml:space="preserve">퇴직급여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퇴직연금 부담금</t>
    </r>
    <r>
      <rPr>
        <sz val="10"/>
        <color rgb="FF000000"/>
        <rFont val="Arial"/>
        <family val="0"/>
        <charset val="1"/>
      </rPr>
      <t xml:space="preserve">)</t>
    </r>
  </si>
  <si>
    <t xml:space="preserve">법정부담금</t>
  </si>
  <si>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대보험료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회사부담분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</si>
  <si>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보험료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복리후생비</t>
    </r>
  </si>
  <si>
    <t xml:space="preserve">복리후생</t>
  </si>
  <si>
    <r>
      <rPr>
        <sz val="10"/>
        <color rgb="FF000000"/>
        <rFont val="WenQuanYi Zen Hei"/>
        <family val="2"/>
      </rPr>
      <t xml:space="preserve">복리후생비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식대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경조사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건강검진 등</t>
    </r>
    <r>
      <rPr>
        <sz val="10"/>
        <color rgb="FF000000"/>
        <rFont val="Arial"/>
        <family val="0"/>
        <charset val="1"/>
      </rPr>
      <t xml:space="preserve">)</t>
    </r>
  </si>
  <si>
    <t xml:space="preserve">복리후생비</t>
  </si>
  <si>
    <r>
      <rPr>
        <sz val="10"/>
        <color rgb="FF000000"/>
        <rFont val="Arial"/>
        <family val="0"/>
        <charset val="1"/>
      </rPr>
      <t xml:space="preserve">D&amp;A(</t>
    </r>
    <r>
      <rPr>
        <sz val="10"/>
        <color rgb="FF000000"/>
        <rFont val="WenQuanYi Zen Hei"/>
        <family val="2"/>
      </rPr>
      <t xml:space="preserve">감가상각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무형자산상각</t>
    </r>
    <r>
      <rPr>
        <sz val="10"/>
        <color rgb="FF000000"/>
        <rFont val="Arial"/>
        <family val="0"/>
        <charset val="1"/>
      </rPr>
      <t xml:space="preserve">)</t>
    </r>
  </si>
  <si>
    <t xml:space="preserve">유형자산상각</t>
  </si>
  <si>
    <r>
      <rPr>
        <sz val="10"/>
        <color rgb="FF000000"/>
        <rFont val="WenQuanYi Zen Hei"/>
        <family val="2"/>
      </rPr>
      <t xml:space="preserve">유형자산 감가상각비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노트북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서버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비품</t>
    </r>
    <r>
      <rPr>
        <sz val="10"/>
        <color rgb="FF000000"/>
        <rFont val="Arial"/>
        <family val="0"/>
        <charset val="1"/>
      </rPr>
      <t xml:space="preserve">)</t>
    </r>
  </si>
  <si>
    <t xml:space="preserve">감가상각비</t>
  </si>
  <si>
    <t xml:space="preserve">무형자산상각</t>
  </si>
  <si>
    <r>
      <rPr>
        <sz val="10"/>
        <color rgb="FF000000"/>
        <rFont val="WenQuanYi Zen Hei"/>
        <family val="2"/>
      </rPr>
      <t xml:space="preserve">무형자산 상각비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개발비 자산화분</t>
    </r>
    <r>
      <rPr>
        <sz val="10"/>
        <color rgb="FF000000"/>
        <rFont val="Arial"/>
        <family val="0"/>
        <charset val="1"/>
      </rPr>
      <t xml:space="preserve">·SW </t>
    </r>
    <r>
      <rPr>
        <sz val="10"/>
        <color rgb="FF000000"/>
        <rFont val="WenQuanYi Zen Hei"/>
        <family val="2"/>
      </rPr>
      <t xml:space="preserve">라이선스</t>
    </r>
    <r>
      <rPr>
        <sz val="10"/>
        <color rgb="FF000000"/>
        <rFont val="Arial"/>
        <family val="0"/>
        <charset val="1"/>
      </rPr>
      <t xml:space="preserve">)</t>
    </r>
  </si>
  <si>
    <t xml:space="preserve">무형자산상각비</t>
  </si>
  <si>
    <r>
      <rPr>
        <sz val="10"/>
        <color rgb="FF000000"/>
        <rFont val="Arial"/>
        <family val="0"/>
        <charset val="1"/>
      </rPr>
      <t xml:space="preserve">R&amp;D(</t>
    </r>
    <r>
      <rPr>
        <sz val="10"/>
        <color rgb="FF000000"/>
        <rFont val="WenQuanYi Zen Hei"/>
        <family val="2"/>
      </rPr>
      <t xml:space="preserve">연구개발비</t>
    </r>
    <r>
      <rPr>
        <sz val="10"/>
        <color rgb="FF000000"/>
        <rFont val="Arial"/>
        <family val="0"/>
        <charset val="1"/>
      </rPr>
      <t xml:space="preserve">)</t>
    </r>
  </si>
  <si>
    <t xml:space="preserve">외주비</t>
  </si>
  <si>
    <t xml:space="preserve">외주 개발비</t>
  </si>
  <si>
    <t xml:space="preserve">경상연구개발비</t>
  </si>
  <si>
    <t xml:space="preserve">개발환경</t>
  </si>
  <si>
    <r>
      <rPr>
        <sz val="10"/>
        <color rgb="FF000000"/>
        <rFont val="WenQuanYi Zen Hei"/>
        <family val="2"/>
      </rPr>
      <t xml:space="preserve">개발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테스트용 클라우드</t>
    </r>
    <r>
      <rPr>
        <sz val="10"/>
        <color rgb="FF000000"/>
        <rFont val="Arial"/>
        <family val="0"/>
        <charset val="1"/>
      </rPr>
      <t xml:space="preserve">·LLM </t>
    </r>
    <r>
      <rPr>
        <sz val="10"/>
        <color rgb="FF000000"/>
        <rFont val="WenQuanYi Zen Hei"/>
        <family val="2"/>
      </rPr>
      <t xml:space="preserve">사용료</t>
    </r>
  </si>
  <si>
    <t xml:space="preserve">기타</t>
  </si>
  <si>
    <r>
      <rPr>
        <sz val="10"/>
        <color rgb="FF000000"/>
        <rFont val="WenQuanYi Zen Hei"/>
        <family val="2"/>
      </rPr>
      <t xml:space="preserve">기타 연구개발비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데이터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도구 구입 등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</si>
  <si>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S&amp;M(</t>
    </r>
    <r>
      <rPr>
        <sz val="10"/>
        <color rgb="FF000000"/>
        <rFont val="WenQuanYi Zen Hei"/>
        <family val="2"/>
      </rPr>
      <t xml:space="preserve">판매및마케팅비</t>
    </r>
    <r>
      <rPr>
        <sz val="10"/>
        <color rgb="FF000000"/>
        <rFont val="Arial"/>
        <family val="0"/>
        <charset val="1"/>
      </rPr>
      <t xml:space="preserve">)</t>
    </r>
  </si>
  <si>
    <t xml:space="preserve">퍼포먼스마케팅</t>
  </si>
  <si>
    <r>
      <rPr>
        <sz val="10"/>
        <color rgb="FF000000"/>
        <rFont val="WenQuanYi Zen Hei"/>
        <family val="2"/>
      </rPr>
      <t xml:space="preserve">광고선전비 </t>
    </r>
    <r>
      <rPr>
        <sz val="10"/>
        <color rgb="FF000000"/>
        <rFont val="Arial"/>
        <family val="0"/>
        <charset val="1"/>
      </rPr>
      <t xml:space="preserve">- [a] AI </t>
    </r>
    <r>
      <rPr>
        <sz val="10"/>
        <color rgb="FF000000"/>
        <rFont val="WenQuanYi Zen Hei"/>
        <family val="2"/>
      </rPr>
      <t xml:space="preserve">취업준비 </t>
    </r>
    <r>
      <rPr>
        <sz val="10"/>
        <color rgb="FF000000"/>
        <rFont val="Arial"/>
        <family val="0"/>
        <charset val="1"/>
      </rPr>
      <t xml:space="preserve">SaaS </t>
    </r>
    <r>
      <rPr>
        <sz val="10"/>
        <color rgb="FF000000"/>
        <rFont val="WenQuanYi Zen Hei"/>
        <family val="2"/>
      </rPr>
      <t xml:space="preserve">구독자 획득</t>
    </r>
  </si>
  <si>
    <t xml:space="preserve">광고선전비</t>
  </si>
  <si>
    <r>
      <rPr>
        <sz val="10"/>
        <color rgb="FF000000"/>
        <rFont val="WenQuanYi Zen Hei"/>
        <family val="2"/>
      </rPr>
      <t xml:space="preserve">광고선전비 </t>
    </r>
    <r>
      <rPr>
        <sz val="10"/>
        <color rgb="FF000000"/>
        <rFont val="Arial"/>
        <family val="0"/>
        <charset val="1"/>
      </rPr>
      <t xml:space="preserve">- [b] </t>
    </r>
    <r>
      <rPr>
        <sz val="10"/>
        <color rgb="FF000000"/>
        <rFont val="WenQuanYi Zen Hei"/>
        <family val="2"/>
      </rPr>
      <t xml:space="preserve">콘텐츠 중개 판매자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구매자 유치</t>
    </r>
  </si>
  <si>
    <r>
      <rPr>
        <sz val="10"/>
        <color rgb="FF000000"/>
        <rFont val="WenQuanYi Zen Hei"/>
        <family val="2"/>
      </rPr>
      <t xml:space="preserve">광고선전비 </t>
    </r>
    <r>
      <rPr>
        <sz val="10"/>
        <color rgb="FF000000"/>
        <rFont val="Arial"/>
        <family val="0"/>
        <charset val="1"/>
      </rPr>
      <t xml:space="preserve">- [c] </t>
    </r>
    <r>
      <rPr>
        <sz val="10"/>
        <color rgb="FF000000"/>
        <rFont val="WenQuanYi Zen Hei"/>
        <family val="2"/>
      </rPr>
      <t xml:space="preserve">자체 콘텐츠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컨퍼런스 판매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홍보</t>
    </r>
  </si>
  <si>
    <t xml:space="preserve">브랜드마케팅</t>
  </si>
  <si>
    <r>
      <rPr>
        <sz val="10"/>
        <color rgb="FF000000"/>
        <rFont val="WenQuanYi Zen Hei"/>
        <family val="2"/>
      </rPr>
      <t xml:space="preserve">광고선전비 </t>
    </r>
    <r>
      <rPr>
        <sz val="10"/>
        <color rgb="FF000000"/>
        <rFont val="Arial"/>
        <family val="0"/>
        <charset val="1"/>
      </rPr>
      <t xml:space="preserve">- </t>
    </r>
    <r>
      <rPr>
        <sz val="10"/>
        <color rgb="FF000000"/>
        <rFont val="WenQuanYi Zen Hei"/>
        <family val="2"/>
      </rPr>
      <t xml:space="preserve">브랜드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콘텐츠 마케팅</t>
    </r>
    <r>
      <rPr>
        <sz val="10"/>
        <color rgb="FF000000"/>
        <rFont val="Arial"/>
        <family val="0"/>
        <charset val="1"/>
      </rPr>
      <t xml:space="preserve">(SNS·</t>
    </r>
    <r>
      <rPr>
        <sz val="10"/>
        <color rgb="FF000000"/>
        <rFont val="WenQuanYi Zen Hei"/>
        <family val="2"/>
      </rPr>
      <t xml:space="preserve">인플루언서 등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</si>
  <si>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Other G&amp;A(</t>
    </r>
    <r>
      <rPr>
        <sz val="10"/>
        <color rgb="FF000000"/>
        <rFont val="WenQuanYi Zen Hei"/>
        <family val="2"/>
      </rPr>
      <t xml:space="preserve">기타관리비</t>
    </r>
    <r>
      <rPr>
        <sz val="10"/>
        <color rgb="FF000000"/>
        <rFont val="Arial"/>
        <family val="0"/>
        <charset val="1"/>
      </rPr>
      <t xml:space="preserve">)</t>
    </r>
  </si>
  <si>
    <t xml:space="preserve">오피스운영</t>
  </si>
  <si>
    <t xml:space="preserve">오피스 임차료</t>
  </si>
  <si>
    <t xml:space="preserve">임차료</t>
  </si>
  <si>
    <r>
      <rPr>
        <sz val="10"/>
        <color rgb="FF000000"/>
        <rFont val="WenQuanYi Zen Hei"/>
        <family val="2"/>
      </rPr>
      <t xml:space="preserve">통신비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전화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인터넷</t>
    </r>
    <r>
      <rPr>
        <sz val="10"/>
        <color rgb="FF000000"/>
        <rFont val="Arial"/>
        <family val="0"/>
        <charset val="1"/>
      </rPr>
      <t xml:space="preserve">)</t>
    </r>
  </si>
  <si>
    <t xml:space="preserve">통신비</t>
  </si>
  <si>
    <r>
      <rPr>
        <sz val="10"/>
        <color rgb="FF000000"/>
        <rFont val="Arial"/>
        <family val="0"/>
        <charset val="1"/>
      </rPr>
      <t xml:space="preserve">SaaS</t>
    </r>
    <r>
      <rPr>
        <sz val="10"/>
        <color rgb="FF000000"/>
        <rFont val="WenQuanYi Zen Hei"/>
        <family val="2"/>
      </rPr>
      <t xml:space="preserve">구독료</t>
    </r>
  </si>
  <si>
    <r>
      <rPr>
        <sz val="10"/>
        <color rgb="FF000000"/>
        <rFont val="Arial"/>
        <family val="0"/>
        <charset val="1"/>
      </rPr>
      <t xml:space="preserve">Google Workspace(</t>
    </r>
    <r>
      <rPr>
        <sz val="10"/>
        <color rgb="FF000000"/>
        <rFont val="WenQuanYi Zen Hei"/>
        <family val="2"/>
      </rPr>
      <t xml:space="preserve">이메일</t>
    </r>
    <r>
      <rPr>
        <sz val="10"/>
        <color rgb="FF000000"/>
        <rFont val="Arial"/>
        <family val="0"/>
        <charset val="1"/>
      </rPr>
      <t xml:space="preserve">)</t>
    </r>
  </si>
  <si>
    <t xml:space="preserve">지급수수료</t>
  </si>
  <si>
    <r>
      <rPr>
        <sz val="10"/>
        <color rgb="FF000000"/>
        <rFont val="Arial"/>
        <family val="0"/>
        <charset val="1"/>
      </rPr>
      <t xml:space="preserve">Notion(</t>
    </r>
    <r>
      <rPr>
        <sz val="10"/>
        <color rgb="FF000000"/>
        <rFont val="WenQuanYi Zen Hei"/>
        <family val="2"/>
      </rPr>
      <t xml:space="preserve">사내 위키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문서</t>
    </r>
    <r>
      <rPr>
        <sz val="10"/>
        <color rgb="FF000000"/>
        <rFont val="Arial"/>
        <family val="0"/>
        <charset val="1"/>
      </rPr>
      <t xml:space="preserve">)</t>
    </r>
  </si>
  <si>
    <t xml:space="preserve">채널웍스</t>
  </si>
  <si>
    <r>
      <rPr>
        <sz val="10"/>
        <color rgb="FF000000"/>
        <rFont val="Arial"/>
        <family val="0"/>
        <charset val="1"/>
      </rPr>
      <t xml:space="preserve">Adobe Creative Cloud(</t>
    </r>
    <r>
      <rPr>
        <sz val="10"/>
        <color rgb="FF000000"/>
        <rFont val="WenQuanYi Zen Hei"/>
        <family val="2"/>
      </rPr>
      <t xml:space="preserve">디자인</t>
    </r>
    <r>
      <rPr>
        <sz val="10"/>
        <color rgb="FF000000"/>
        <rFont val="Arial"/>
        <family val="0"/>
        <charset val="1"/>
      </rPr>
      <t xml:space="preserve">)</t>
    </r>
  </si>
  <si>
    <t xml:space="preserve">전문가수수료</t>
  </si>
  <si>
    <r>
      <rPr>
        <sz val="10"/>
        <color rgb="FF000000"/>
        <rFont val="WenQuanYi Zen Hei"/>
        <family val="2"/>
      </rPr>
      <t xml:space="preserve">지급수수료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세무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회계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법률 자문</t>
    </r>
    <r>
      <rPr>
        <sz val="10"/>
        <color rgb="FF000000"/>
        <rFont val="Arial"/>
        <family val="0"/>
        <charset val="1"/>
      </rPr>
      <t xml:space="preserve">)</t>
    </r>
  </si>
  <si>
    <t xml:space="preserve">여비교통비</t>
  </si>
  <si>
    <r>
      <rPr>
        <sz val="10"/>
        <color rgb="FF000000"/>
        <rFont val="WenQuanYi Zen Hei"/>
        <family val="2"/>
      </rPr>
      <t xml:space="preserve">기업업무추진비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접대비</t>
    </r>
    <r>
      <rPr>
        <sz val="10"/>
        <color rgb="FF000000"/>
        <rFont val="Arial"/>
        <family val="0"/>
        <charset val="1"/>
      </rPr>
      <t xml:space="preserve">)</t>
    </r>
  </si>
  <si>
    <t xml:space="preserve">기업업무추진비</t>
  </si>
  <si>
    <t xml:space="preserve">세금과공과</t>
  </si>
  <si>
    <t xml:space="preserve">소모품비</t>
  </si>
  <si>
    <t xml:space="preserve">기타판관비</t>
  </si>
  <si>
    <t xml:space="preserve">잡비 등</t>
  </si>
  <si>
    <r>
      <rPr>
        <b val="true"/>
        <sz val="10"/>
        <rFont val="WenQuanYi Zen Hei"/>
        <family val="2"/>
      </rPr>
      <t xml:space="preserve">소계</t>
    </r>
    <r>
      <rPr>
        <b val="true"/>
        <sz val="10"/>
        <rFont val="Arial"/>
        <family val="0"/>
        <charset val="1"/>
      </rPr>
      <t xml:space="preserve">: Labor Costs(</t>
    </r>
    <r>
      <rPr>
        <b val="true"/>
        <sz val="10"/>
        <rFont val="WenQuanYi Zen Hei"/>
        <family val="2"/>
      </rPr>
      <t xml:space="preserve">인건비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</si>
  <si>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소계</t>
    </r>
    <r>
      <rPr>
        <b val="true"/>
        <sz val="10"/>
        <rFont val="Arial"/>
        <family val="0"/>
        <charset val="1"/>
      </rPr>
      <t xml:space="preserve">: D&amp;A(</t>
    </r>
    <r>
      <rPr>
        <b val="true"/>
        <sz val="10"/>
        <rFont val="WenQuanYi Zen Hei"/>
        <family val="2"/>
      </rPr>
      <t xml:space="preserve">감가상각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무형자산상각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</si>
  <si>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소계</t>
    </r>
    <r>
      <rPr>
        <b val="true"/>
        <sz val="10"/>
        <rFont val="Arial"/>
        <family val="0"/>
        <charset val="1"/>
      </rPr>
      <t xml:space="preserve">: R&amp;D(</t>
    </r>
    <r>
      <rPr>
        <b val="true"/>
        <sz val="10"/>
        <rFont val="WenQuanYi Zen Hei"/>
        <family val="2"/>
      </rPr>
      <t xml:space="preserve">연구개발비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</si>
  <si>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소계</t>
    </r>
    <r>
      <rPr>
        <b val="true"/>
        <sz val="10"/>
        <rFont val="Arial"/>
        <family val="0"/>
        <charset val="1"/>
      </rPr>
      <t xml:space="preserve">: S&amp;M(</t>
    </r>
    <r>
      <rPr>
        <b val="true"/>
        <sz val="10"/>
        <rFont val="WenQuanYi Zen Hei"/>
        <family val="2"/>
      </rPr>
      <t xml:space="preserve">판매및마케팅비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</si>
  <si>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소계</t>
    </r>
    <r>
      <rPr>
        <b val="true"/>
        <sz val="10"/>
        <rFont val="Arial"/>
        <family val="0"/>
        <charset val="1"/>
      </rPr>
      <t xml:space="preserve">: Other G&amp;A(</t>
    </r>
    <r>
      <rPr>
        <b val="true"/>
        <sz val="10"/>
        <rFont val="WenQuanYi Zen Hei"/>
        <family val="2"/>
      </rPr>
      <t xml:space="preserve">기타관리비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</si>
  <si>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합계</t>
    </r>
    <r>
      <rPr>
        <b val="true"/>
        <sz val="10"/>
        <rFont val="Arial"/>
        <family val="0"/>
        <charset val="1"/>
      </rPr>
      <t xml:space="preserve">: </t>
    </r>
    <r>
      <rPr>
        <b val="true"/>
        <sz val="10"/>
        <rFont val="WenQuanYi Zen Hei"/>
        <family val="2"/>
      </rPr>
      <t xml:space="preserve">판관비</t>
    </r>
    <r>
      <rPr>
        <b val="true"/>
        <sz val="10"/>
        <rFont val="Arial"/>
        <family val="0"/>
        <charset val="1"/>
      </rPr>
      <t xml:space="preserve">(SG&amp;A)</t>
    </r>
  </si>
  <si>
    <r>
      <rPr>
        <b val="true"/>
        <sz val="13"/>
        <rFont val="WenQuanYi Zen Hei"/>
        <family val="2"/>
      </rPr>
      <t xml:space="preserve">손익계산서</t>
    </r>
    <r>
      <rPr>
        <b val="true"/>
        <sz val="13"/>
        <rFont val="Arial"/>
        <family val="0"/>
        <charset val="1"/>
      </rPr>
      <t xml:space="preserve">(P&amp;L) </t>
    </r>
    <r>
      <rPr>
        <b val="true"/>
        <sz val="13"/>
        <rFont val="WenQuanYi Zen Hei"/>
        <family val="2"/>
      </rPr>
      <t xml:space="preserve">월별 요약 </t>
    </r>
    <r>
      <rPr>
        <b val="true"/>
        <sz val="13"/>
        <rFont val="Arial"/>
        <family val="0"/>
        <charset val="1"/>
      </rPr>
      <t xml:space="preserve">(</t>
    </r>
    <r>
      <rPr>
        <b val="true"/>
        <sz val="13"/>
        <rFont val="WenQuanYi Zen Hei"/>
        <family val="2"/>
      </rPr>
      <t xml:space="preserve">단위</t>
    </r>
    <r>
      <rPr>
        <b val="true"/>
        <sz val="13"/>
        <rFont val="Arial"/>
        <family val="0"/>
        <charset val="1"/>
      </rPr>
      <t xml:space="preserve">: </t>
    </r>
    <r>
      <rPr>
        <b val="true"/>
        <sz val="13"/>
        <rFont val="WenQuanYi Zen Hei"/>
        <family val="2"/>
      </rPr>
      <t xml:space="preserve">원</t>
    </r>
    <r>
      <rPr>
        <b val="true"/>
        <sz val="13"/>
        <rFont val="Arial"/>
        <family val="0"/>
        <charset val="1"/>
      </rPr>
      <t xml:space="preserve">)</t>
    </r>
  </si>
  <si>
    <r>
      <rPr>
        <i val="true"/>
        <sz val="9"/>
        <color rgb="FF595959"/>
        <rFont val="WenQuanYi Zen Hei"/>
        <family val="2"/>
      </rPr>
      <t xml:space="preserve">※ 매출</t>
    </r>
    <r>
      <rPr>
        <i val="true"/>
        <sz val="9"/>
        <color rgb="FF595959"/>
        <rFont val="Arial"/>
        <family val="0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매출원가</t>
    </r>
    <r>
      <rPr>
        <i val="true"/>
        <sz val="9"/>
        <color rgb="FF595959"/>
        <rFont val="Arial"/>
        <family val="0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판관비는 상세 시트 합계를 연결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초록색</t>
    </r>
    <r>
      <rPr>
        <i val="true"/>
        <sz val="9"/>
        <color rgb="FF595959"/>
        <rFont val="Arial"/>
        <family val="0"/>
        <charset val="1"/>
      </rPr>
      <t xml:space="preserve">). </t>
    </r>
    <r>
      <rPr>
        <i val="true"/>
        <sz val="9"/>
        <color rgb="FF595959"/>
        <rFont val="WenQuanYi Zen Hei"/>
        <family val="2"/>
      </rPr>
      <t xml:space="preserve">영업외손익은 입력값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파란색</t>
    </r>
    <r>
      <rPr>
        <i val="true"/>
        <sz val="9"/>
        <color rgb="FF595959"/>
        <rFont val="Arial"/>
        <family val="0"/>
        <charset val="1"/>
      </rPr>
      <t xml:space="preserve">): 2025</t>
    </r>
    <r>
      <rPr>
        <i val="true"/>
        <sz val="9"/>
        <color rgb="FF595959"/>
        <rFont val="WenQuanYi Zen Hei"/>
        <family val="2"/>
      </rPr>
      <t xml:space="preserve">년은 표준손익계산서 실적</t>
    </r>
    <r>
      <rPr>
        <i val="true"/>
        <sz val="9"/>
        <color rgb="FF595959"/>
        <rFont val="Arial"/>
        <family val="0"/>
        <charset val="1"/>
      </rPr>
      <t xml:space="preserve">, 2026</t>
    </r>
    <r>
      <rPr>
        <i val="true"/>
        <sz val="9"/>
        <color rgb="FF595959"/>
        <rFont val="WenQuanYi Zen Hei"/>
        <family val="2"/>
      </rPr>
      <t xml:space="preserve">년 이후 정부보조금은 초기창업패키지</t>
    </r>
    <r>
      <rPr>
        <i val="true"/>
        <sz val="9"/>
        <color rgb="FF595959"/>
        <rFont val="Arial"/>
        <family val="0"/>
        <charset val="1"/>
      </rPr>
      <t xml:space="preserve">(2026-05~11, </t>
    </r>
    <r>
      <rPr>
        <i val="true"/>
        <sz val="9"/>
        <color rgb="FF595959"/>
        <rFont val="WenQuanYi Zen Hei"/>
        <family val="2"/>
      </rPr>
      <t xml:space="preserve">월 </t>
    </r>
    <r>
      <rPr>
        <i val="true"/>
        <sz val="9"/>
        <color rgb="FF595959"/>
        <rFont val="Arial"/>
        <family val="0"/>
        <charset val="1"/>
      </rPr>
      <t xml:space="preserve">700</t>
    </r>
    <r>
      <rPr>
        <i val="true"/>
        <sz val="9"/>
        <color rgb="FF595959"/>
        <rFont val="WenQuanYi Zen Hei"/>
        <family val="2"/>
      </rPr>
      <t xml:space="preserve">만원</t>
    </r>
    <r>
      <rPr>
        <i val="true"/>
        <sz val="9"/>
        <color rgb="FF595959"/>
        <rFont val="Arial"/>
        <family val="0"/>
        <charset val="1"/>
      </rPr>
      <t xml:space="preserve">)·TIPS R&amp;D(2026-11~, </t>
    </r>
    <r>
      <rPr>
        <i val="true"/>
        <sz val="9"/>
        <color rgb="FF595959"/>
        <rFont val="WenQuanYi Zen Hei"/>
        <family val="2"/>
      </rPr>
      <t xml:space="preserve">월 </t>
    </r>
    <r>
      <rPr>
        <i val="true"/>
        <sz val="9"/>
        <color rgb="FF595959"/>
        <rFont val="Arial"/>
        <family val="0"/>
        <charset val="1"/>
      </rPr>
      <t xml:space="preserve">1,600</t>
    </r>
    <r>
      <rPr>
        <i val="true"/>
        <sz val="9"/>
        <color rgb="FF595959"/>
        <rFont val="WenQuanYi Zen Hei"/>
        <family val="2"/>
      </rPr>
      <t xml:space="preserve">만원</t>
    </r>
    <r>
      <rPr>
        <i val="true"/>
        <sz val="9"/>
        <color rgb="FF595959"/>
        <rFont val="Arial"/>
        <family val="0"/>
        <charset val="1"/>
      </rPr>
      <t xml:space="preserve">) </t>
    </r>
    <r>
      <rPr>
        <i val="true"/>
        <sz val="9"/>
        <color rgb="FF595959"/>
        <rFont val="WenQuanYi Zen Hei"/>
        <family val="2"/>
      </rPr>
      <t xml:space="preserve">가정</t>
    </r>
    <r>
      <rPr>
        <i val="true"/>
        <sz val="9"/>
        <color rgb="FF595959"/>
        <rFont val="Arial"/>
        <family val="0"/>
        <charset val="1"/>
      </rPr>
      <t xml:space="preserve">.</t>
    </r>
  </si>
  <si>
    <r>
      <rPr>
        <b val="true"/>
        <sz val="10"/>
        <color rgb="FFFFFFFF"/>
        <rFont val="WenQuanYi Zen Hei"/>
        <family val="2"/>
      </rPr>
      <t xml:space="preserve">산식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WenQuanYi Zen Hei"/>
        <family val="2"/>
      </rPr>
      <t xml:space="preserve">비고</t>
    </r>
  </si>
  <si>
    <r>
      <rPr>
        <b val="true"/>
        <sz val="10"/>
        <color rgb="FFFFFFFF"/>
        <rFont val="WenQuanYi Zen Hei"/>
        <family val="2"/>
      </rPr>
      <t xml:space="preserve">참고</t>
    </r>
    <r>
      <rPr>
        <b val="true"/>
        <sz val="10"/>
        <color rgb="FFFFFFFF"/>
        <rFont val="Arial"/>
        <family val="0"/>
        <charset val="1"/>
      </rPr>
      <t xml:space="preserve">_</t>
    </r>
    <r>
      <rPr>
        <b val="true"/>
        <sz val="10"/>
        <color rgb="FFFFFFFF"/>
        <rFont val="WenQuanYi Zen Hei"/>
        <family val="2"/>
      </rPr>
      <t xml:space="preserve">표준손익계산서 계정</t>
    </r>
  </si>
  <si>
    <r>
      <rPr>
        <sz val="10"/>
        <color rgb="FF000000"/>
        <rFont val="Arial"/>
        <family val="0"/>
        <charset val="1"/>
      </rPr>
      <t xml:space="preserve">Ⅰ.</t>
    </r>
    <r>
      <rPr>
        <sz val="10"/>
        <color rgb="FF000000"/>
        <rFont val="WenQuanYi Zen Hei"/>
        <family val="2"/>
      </rPr>
      <t xml:space="preserve">매출액</t>
    </r>
  </si>
  <si>
    <r>
      <rPr>
        <sz val="10"/>
        <rFont val="Arial"/>
        <family val="0"/>
        <charset val="1"/>
      </rPr>
      <t xml:space="preserve">  [a] AI </t>
    </r>
    <r>
      <rPr>
        <sz val="10"/>
        <rFont val="WenQuanYi Zen Hei"/>
        <family val="2"/>
      </rPr>
      <t xml:space="preserve">취업준비 </t>
    </r>
    <r>
      <rPr>
        <sz val="10"/>
        <rFont val="Arial"/>
        <family val="0"/>
        <charset val="1"/>
      </rPr>
      <t xml:space="preserve">SaaS</t>
    </r>
  </si>
  <si>
    <r>
      <rPr>
        <sz val="10"/>
        <rFont val="Arial"/>
        <family val="0"/>
        <charset val="1"/>
      </rPr>
      <t xml:space="preserve">  [b] </t>
    </r>
    <r>
      <rPr>
        <sz val="10"/>
        <rFont val="WenQuanYi Zen Hei"/>
        <family val="2"/>
      </rPr>
      <t xml:space="preserve">전자책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강의 중개수수료</t>
    </r>
  </si>
  <si>
    <r>
      <rPr>
        <sz val="10"/>
        <rFont val="Arial"/>
        <family val="0"/>
        <charset val="1"/>
      </rPr>
      <t xml:space="preserve">  [c] </t>
    </r>
    <r>
      <rPr>
        <sz val="10"/>
        <rFont val="WenQuanYi Zen Hei"/>
        <family val="2"/>
      </rPr>
      <t xml:space="preserve">자체 콘텐츠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컨퍼런스</t>
    </r>
  </si>
  <si>
    <r>
      <rPr>
        <sz val="10"/>
        <color rgb="FF000000"/>
        <rFont val="Arial"/>
        <family val="0"/>
        <charset val="1"/>
      </rPr>
      <t xml:space="preserve">Ⅱ.</t>
    </r>
    <r>
      <rPr>
        <sz val="10"/>
        <color rgb="FF000000"/>
        <rFont val="WenQuanYi Zen Hei"/>
        <family val="2"/>
      </rPr>
      <t xml:space="preserve">매출원가</t>
    </r>
  </si>
  <si>
    <r>
      <rPr>
        <sz val="10"/>
        <rFont val="Arial"/>
        <family val="0"/>
        <charset val="1"/>
      </rPr>
      <t xml:space="preserve">  [b] </t>
    </r>
    <r>
      <rPr>
        <sz val="10"/>
        <rFont val="WenQuanYi Zen Hei"/>
        <family val="2"/>
      </rPr>
      <t xml:space="preserve">콘텐츠 중개</t>
    </r>
  </si>
  <si>
    <t xml:space="preserve">매출총이익</t>
  </si>
  <si>
    <r>
      <rPr>
        <sz val="10"/>
        <color rgb="FF000000"/>
        <rFont val="Arial"/>
        <family val="0"/>
        <charset val="1"/>
      </rPr>
      <t xml:space="preserve">Ⅲ.</t>
    </r>
    <r>
      <rPr>
        <sz val="10"/>
        <color rgb="FF000000"/>
        <rFont val="WenQuanYi Zen Hei"/>
        <family val="2"/>
      </rPr>
      <t xml:space="preserve">매출총손익</t>
    </r>
  </si>
  <si>
    <t xml:space="preserve">  매출총이익률</t>
  </si>
  <si>
    <r>
      <rPr>
        <sz val="10"/>
        <rFont val="Arial"/>
        <family val="0"/>
        <charset val="1"/>
      </rPr>
      <t xml:space="preserve">  [a] </t>
    </r>
    <r>
      <rPr>
        <sz val="10"/>
        <rFont val="WenQuanYi Zen Hei"/>
        <family val="2"/>
      </rPr>
      <t xml:space="preserve">매출총이익률</t>
    </r>
  </si>
  <si>
    <r>
      <rPr>
        <sz val="10"/>
        <rFont val="Arial"/>
        <family val="0"/>
        <charset val="1"/>
      </rPr>
      <t xml:space="preserve">  [b] </t>
    </r>
    <r>
      <rPr>
        <sz val="10"/>
        <rFont val="WenQuanYi Zen Hei"/>
        <family val="2"/>
      </rPr>
      <t xml:space="preserve">매출총이익률</t>
    </r>
  </si>
  <si>
    <r>
      <rPr>
        <sz val="10"/>
        <rFont val="Arial"/>
        <family val="0"/>
        <charset val="1"/>
      </rPr>
      <t xml:space="preserve">  [c] </t>
    </r>
    <r>
      <rPr>
        <sz val="10"/>
        <rFont val="WenQuanYi Zen Hei"/>
        <family val="2"/>
      </rPr>
      <t xml:space="preserve">매출총이익률</t>
    </r>
  </si>
  <si>
    <r>
      <rPr>
        <sz val="10"/>
        <color rgb="FF000000"/>
        <rFont val="Arial"/>
        <family val="0"/>
        <charset val="1"/>
      </rPr>
      <t xml:space="preserve">Ⅳ.</t>
    </r>
    <r>
      <rPr>
        <sz val="10"/>
        <color rgb="FF000000"/>
        <rFont val="WenQuanYi Zen Hei"/>
        <family val="2"/>
      </rPr>
      <t xml:space="preserve">판매비와관리비</t>
    </r>
  </si>
  <si>
    <r>
      <rPr>
        <sz val="10"/>
        <rFont val="Arial"/>
        <family val="0"/>
        <charset val="1"/>
      </rPr>
      <t xml:space="preserve">  Labor Costs(</t>
    </r>
    <r>
      <rPr>
        <sz val="10"/>
        <rFont val="WenQuanYi Zen Hei"/>
        <family val="2"/>
      </rPr>
      <t xml:space="preserve">인건비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</si>
  <si>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  D&amp;A(</t>
    </r>
    <r>
      <rPr>
        <sz val="10"/>
        <rFont val="WenQuanYi Zen Hei"/>
        <family val="2"/>
      </rPr>
      <t xml:space="preserve">감가상각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무형자산상각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</si>
  <si>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  R&amp;D(</t>
    </r>
    <r>
      <rPr>
        <sz val="10"/>
        <rFont val="WenQuanYi Zen Hei"/>
        <family val="2"/>
      </rPr>
      <t xml:space="preserve">연구개발비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</si>
  <si>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  S&amp;M(</t>
    </r>
    <r>
      <rPr>
        <sz val="10"/>
        <rFont val="WenQuanYi Zen Hei"/>
        <family val="2"/>
      </rPr>
      <t xml:space="preserve">판매및마케팅비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</si>
  <si>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  Other G&amp;A(</t>
    </r>
    <r>
      <rPr>
        <sz val="10"/>
        <rFont val="WenQuanYi Zen Hei"/>
        <family val="2"/>
      </rPr>
      <t xml:space="preserve">기타관리비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</si>
  <si>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영업이익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손실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</si>
  <si>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Ⅴ.</t>
    </r>
    <r>
      <rPr>
        <sz val="10"/>
        <color rgb="FF000000"/>
        <rFont val="WenQuanYi Zen Hei"/>
        <family val="2"/>
      </rPr>
      <t xml:space="preserve">영업손익</t>
    </r>
  </si>
  <si>
    <t xml:space="preserve">  영업이익률</t>
  </si>
  <si>
    <r>
      <rPr>
        <sz val="10"/>
        <rFont val="Arial"/>
        <family val="0"/>
        <charset val="1"/>
      </rPr>
      <t xml:space="preserve">  EBITDA(</t>
    </r>
    <r>
      <rPr>
        <sz val="10"/>
        <rFont val="WenQuanYi Zen Hei"/>
        <family val="2"/>
      </rPr>
      <t xml:space="preserve">영업이익</t>
    </r>
    <r>
      <rPr>
        <sz val="10"/>
        <rFont val="Arial"/>
        <family val="0"/>
        <charset val="1"/>
      </rPr>
      <t xml:space="preserve">+</t>
    </r>
    <r>
      <rPr>
        <sz val="10"/>
        <rFont val="WenQuanYi Zen Hei"/>
        <family val="2"/>
      </rPr>
      <t xml:space="preserve">감가상각비</t>
    </r>
    <r>
      <rPr>
        <sz val="1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</si>
  <si>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Ⅵ.</t>
    </r>
    <r>
      <rPr>
        <sz val="10"/>
        <color rgb="FF000000"/>
        <rFont val="WenQuanYi Zen Hei"/>
        <family val="2"/>
      </rPr>
      <t xml:space="preserve">영업외수익</t>
    </r>
  </si>
  <si>
    <t xml:space="preserve">  이자수익</t>
  </si>
  <si>
    <r>
      <rPr>
        <i val="true"/>
        <sz val="9"/>
        <color rgb="FF595959"/>
        <rFont val="Arial"/>
        <family val="0"/>
        <charset val="1"/>
      </rPr>
      <t xml:space="preserve">2026~: </t>
    </r>
    <r>
      <rPr>
        <i val="true"/>
        <sz val="9"/>
        <color rgb="FF595959"/>
        <rFont val="WenQuanYi Zen Hei"/>
        <family val="2"/>
      </rPr>
      <t xml:space="preserve">전월 말 현금 </t>
    </r>
    <r>
      <rPr>
        <i val="true"/>
        <sz val="9"/>
        <color rgb="FF595959"/>
        <rFont val="Arial"/>
        <family val="0"/>
        <charset val="1"/>
      </rPr>
      <t xml:space="preserve">× </t>
    </r>
    <r>
      <rPr>
        <i val="true"/>
        <sz val="9"/>
        <color rgb="FF595959"/>
        <rFont val="WenQuanYi Zen Hei"/>
        <family val="2"/>
      </rPr>
      <t xml:space="preserve">연 </t>
    </r>
    <r>
      <rPr>
        <i val="true"/>
        <sz val="9"/>
        <color rgb="FF595959"/>
        <rFont val="Arial"/>
        <family val="0"/>
        <charset val="1"/>
      </rPr>
      <t xml:space="preserve">1.8% ÷ 12</t>
    </r>
  </si>
  <si>
    <r>
      <rPr>
        <sz val="10"/>
        <color rgb="FF000000"/>
        <rFont val="Arial"/>
        <family val="0"/>
        <charset val="1"/>
      </rPr>
      <t xml:space="preserve">1.</t>
    </r>
    <r>
      <rPr>
        <sz val="10"/>
        <color rgb="FF000000"/>
        <rFont val="WenQuanYi Zen Hei"/>
        <family val="2"/>
      </rPr>
      <t xml:space="preserve">이자수익</t>
    </r>
  </si>
  <si>
    <r>
      <rPr>
        <sz val="10"/>
        <color rgb="FF000000"/>
        <rFont val="WenQuanYi Zen Hei"/>
        <family val="2"/>
      </rPr>
      <t xml:space="preserve">  정부보조금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기타잡이익</t>
    </r>
  </si>
  <si>
    <r>
      <rPr>
        <i val="true"/>
        <sz val="9"/>
        <color rgb="FF595959"/>
        <rFont val="Arial"/>
        <family val="0"/>
        <charset val="1"/>
      </rPr>
      <t xml:space="preserve">2025: </t>
    </r>
    <r>
      <rPr>
        <i val="true"/>
        <sz val="9"/>
        <color rgb="FF595959"/>
        <rFont val="WenQuanYi Zen Hei"/>
        <family val="2"/>
      </rPr>
      <t xml:space="preserve">신고서 기타잡이익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창업지원금 가정</t>
    </r>
    <r>
      <rPr>
        <i val="true"/>
        <sz val="9"/>
        <color rgb="FF595959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</si>
  <si>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28.</t>
    </r>
    <r>
      <rPr>
        <sz val="10"/>
        <color rgb="FF000000"/>
        <rFont val="WenQuanYi Zen Hei"/>
        <family val="2"/>
      </rPr>
      <t xml:space="preserve">기타잡이익</t>
    </r>
  </si>
  <si>
    <r>
      <rPr>
        <sz val="10"/>
        <color rgb="FF000000"/>
        <rFont val="Arial"/>
        <family val="0"/>
        <charset val="1"/>
      </rPr>
      <t xml:space="preserve">Ⅶ.</t>
    </r>
    <r>
      <rPr>
        <sz val="10"/>
        <color rgb="FF000000"/>
        <rFont val="WenQuanYi Zen Hei"/>
        <family val="2"/>
      </rPr>
      <t xml:space="preserve">영업외비용</t>
    </r>
  </si>
  <si>
    <t xml:space="preserve">  이자비용</t>
  </si>
  <si>
    <r>
      <rPr>
        <i val="true"/>
        <sz val="9"/>
        <color rgb="FF595959"/>
        <rFont val="WenQuanYi Zen Hei"/>
        <family val="2"/>
      </rPr>
      <t xml:space="preserve">장기차입금 </t>
    </r>
    <r>
      <rPr>
        <i val="true"/>
        <sz val="9"/>
        <color rgb="FF595959"/>
        <rFont val="Arial"/>
        <family val="0"/>
        <charset val="1"/>
      </rPr>
      <t xml:space="preserve">2</t>
    </r>
    <r>
      <rPr>
        <i val="true"/>
        <sz val="9"/>
        <color rgb="FF595959"/>
        <rFont val="WenQuanYi Zen Hei"/>
        <family val="2"/>
      </rPr>
      <t xml:space="preserve">억 </t>
    </r>
    <r>
      <rPr>
        <i val="true"/>
        <sz val="9"/>
        <color rgb="FF595959"/>
        <rFont val="Arial"/>
        <family val="0"/>
        <charset val="1"/>
      </rPr>
      <t xml:space="preserve">× </t>
    </r>
    <r>
      <rPr>
        <i val="true"/>
        <sz val="9"/>
        <color rgb="FF595959"/>
        <rFont val="WenQuanYi Zen Hei"/>
        <family val="2"/>
      </rPr>
      <t xml:space="preserve">연 </t>
    </r>
    <r>
      <rPr>
        <i val="true"/>
        <sz val="9"/>
        <color rgb="FF595959"/>
        <rFont val="Arial"/>
        <family val="0"/>
        <charset val="1"/>
      </rPr>
      <t xml:space="preserve">2.5% ÷ 12</t>
    </r>
  </si>
  <si>
    <r>
      <rPr>
        <sz val="10"/>
        <color rgb="FF000000"/>
        <rFont val="Arial"/>
        <family val="0"/>
        <charset val="1"/>
      </rPr>
      <t xml:space="preserve">1.</t>
    </r>
    <r>
      <rPr>
        <sz val="10"/>
        <color rgb="FF000000"/>
        <rFont val="WenQuanYi Zen Hei"/>
        <family val="2"/>
      </rPr>
      <t xml:space="preserve">이자비용</t>
    </r>
  </si>
  <si>
    <r>
      <rPr>
        <sz val="10"/>
        <color rgb="FF000000"/>
        <rFont val="WenQuanYi Zen Hei"/>
        <family val="2"/>
      </rPr>
      <t xml:space="preserve">  기타잡손실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환차손 등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</si>
  <si>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21.</t>
    </r>
    <r>
      <rPr>
        <sz val="10"/>
        <color rgb="FF000000"/>
        <rFont val="WenQuanYi Zen Hei"/>
        <family val="2"/>
      </rPr>
      <t xml:space="preserve">기타잡손실</t>
    </r>
  </si>
  <si>
    <r>
      <rPr>
        <b val="true"/>
        <sz val="10"/>
        <rFont val="WenQuanYi Zen Hei"/>
        <family val="2"/>
      </rPr>
      <t xml:space="preserve">법인세비용차감전순이익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손실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</si>
  <si>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Ⅷ.</t>
    </r>
    <r>
      <rPr>
        <sz val="10"/>
        <color rgb="FF000000"/>
        <rFont val="WenQuanYi Zen Hei"/>
        <family val="2"/>
      </rPr>
      <t xml:space="preserve">법인세비용차감전손익</t>
    </r>
  </si>
  <si>
    <t xml:space="preserve">법인세비용</t>
  </si>
  <si>
    <r>
      <rPr>
        <i val="true"/>
        <sz val="9"/>
        <color rgb="FF595959"/>
        <rFont val="WenQuanYi Zen Hei"/>
        <family val="2"/>
      </rPr>
      <t xml:space="preserve">누적 결손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이월결손금</t>
    </r>
    <r>
      <rPr>
        <i val="true"/>
        <sz val="9"/>
        <color rgb="FF595959"/>
        <rFont val="Arial"/>
        <family val="0"/>
        <charset val="1"/>
      </rPr>
      <t xml:space="preserve">)</t>
    </r>
    <r>
      <rPr>
        <i val="true"/>
        <sz val="9"/>
        <color rgb="FF595959"/>
        <rFont val="WenQuanYi Zen Hei"/>
        <family val="2"/>
      </rPr>
      <t xml:space="preserve">으로 </t>
    </r>
    <r>
      <rPr>
        <i val="true"/>
        <sz val="9"/>
        <color rgb="FF595959"/>
        <rFont val="Arial"/>
        <family val="0"/>
        <charset val="1"/>
      </rPr>
      <t xml:space="preserve">0</t>
    </r>
    <r>
      <rPr>
        <i val="true"/>
        <sz val="9"/>
        <color rgb="FF595959"/>
        <rFont val="WenQuanYi Zen Hei"/>
        <family val="2"/>
      </rPr>
      <t xml:space="preserve">원 가정</t>
    </r>
  </si>
  <si>
    <r>
      <rPr>
        <sz val="10"/>
        <color rgb="FF000000"/>
        <rFont val="Arial"/>
        <family val="0"/>
        <charset val="1"/>
      </rPr>
      <t xml:space="preserve">Ⅸ.</t>
    </r>
    <r>
      <rPr>
        <sz val="10"/>
        <color rgb="FF000000"/>
        <rFont val="WenQuanYi Zen Hei"/>
        <family val="2"/>
      </rPr>
      <t xml:space="preserve">법인세비용</t>
    </r>
  </si>
  <si>
    <r>
      <rPr>
        <b val="true"/>
        <sz val="10"/>
        <rFont val="WenQuanYi Zen Hei"/>
        <family val="2"/>
      </rPr>
      <t xml:space="preserve">당기순이익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손실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</si>
  <si>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Ⅹ.</t>
    </r>
    <r>
      <rPr>
        <sz val="10"/>
        <color rgb="FF000000"/>
        <rFont val="WenQuanYi Zen Hei"/>
        <family val="2"/>
      </rPr>
      <t xml:space="preserve">당기순손익</t>
    </r>
  </si>
  <si>
    <r>
      <rPr>
        <b val="true"/>
        <sz val="13"/>
        <rFont val="WenQuanYi Zen Hei"/>
        <family val="2"/>
      </rPr>
      <t xml:space="preserve">현금흐름표</t>
    </r>
    <r>
      <rPr>
        <b val="true"/>
        <sz val="13"/>
        <rFont val="Arial"/>
        <family val="0"/>
        <charset val="1"/>
      </rPr>
      <t xml:space="preserve">(CF) </t>
    </r>
    <r>
      <rPr>
        <b val="true"/>
        <sz val="13"/>
        <rFont val="WenQuanYi Zen Hei"/>
        <family val="2"/>
      </rPr>
      <t xml:space="preserve">월별 </t>
    </r>
    <r>
      <rPr>
        <b val="true"/>
        <sz val="13"/>
        <rFont val="Arial"/>
        <family val="0"/>
        <charset val="1"/>
      </rPr>
      <t xml:space="preserve">· </t>
    </r>
    <r>
      <rPr>
        <b val="true"/>
        <sz val="13"/>
        <rFont val="WenQuanYi Zen Hei"/>
        <family val="2"/>
      </rPr>
      <t xml:space="preserve">간접법 </t>
    </r>
    <r>
      <rPr>
        <b val="true"/>
        <sz val="13"/>
        <rFont val="Arial"/>
        <family val="0"/>
        <charset val="1"/>
      </rPr>
      <t xml:space="preserve">(</t>
    </r>
    <r>
      <rPr>
        <b val="true"/>
        <sz val="13"/>
        <rFont val="WenQuanYi Zen Hei"/>
        <family val="2"/>
      </rPr>
      <t xml:space="preserve">단위</t>
    </r>
    <r>
      <rPr>
        <b val="true"/>
        <sz val="13"/>
        <rFont val="Arial"/>
        <family val="0"/>
        <charset val="1"/>
      </rPr>
      <t xml:space="preserve">: </t>
    </r>
    <r>
      <rPr>
        <b val="true"/>
        <sz val="13"/>
        <rFont val="WenQuanYi Zen Hei"/>
        <family val="2"/>
      </rPr>
      <t xml:space="preserve">원</t>
    </r>
    <r>
      <rPr>
        <b val="true"/>
        <sz val="13"/>
        <rFont val="Arial"/>
        <family val="0"/>
        <charset val="1"/>
      </rPr>
      <t xml:space="preserve">)</t>
    </r>
  </si>
  <si>
    <r>
      <rPr>
        <i val="true"/>
        <sz val="9"/>
        <color rgb="FF595959"/>
        <rFont val="WenQuanYi Zen Hei"/>
        <family val="2"/>
      </rPr>
      <t xml:space="preserve">※ 당기순이익에서 출발해 비현금비용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감가상각</t>
    </r>
    <r>
      <rPr>
        <i val="true"/>
        <sz val="9"/>
        <color rgb="FF595959"/>
        <rFont val="Arial"/>
        <family val="0"/>
        <charset val="1"/>
      </rPr>
      <t xml:space="preserve">)</t>
    </r>
    <r>
      <rPr>
        <i val="true"/>
        <sz val="9"/>
        <color rgb="FF595959"/>
        <rFont val="WenQuanYi Zen Hei"/>
        <family val="2"/>
      </rPr>
      <t xml:space="preserve">과 재무상태표 운전자본 증감을 가감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간접법</t>
    </r>
    <r>
      <rPr>
        <i val="true"/>
        <sz val="9"/>
        <color rgb="FF595959"/>
        <rFont val="Arial"/>
        <family val="0"/>
        <charset val="1"/>
      </rPr>
      <t xml:space="preserve">). </t>
    </r>
    <r>
      <rPr>
        <i val="true"/>
        <sz val="9"/>
        <color rgb="FF595959"/>
        <rFont val="WenQuanYi Zen Hei"/>
        <family val="2"/>
      </rPr>
      <t xml:space="preserve">투자</t>
    </r>
    <r>
      <rPr>
        <i val="true"/>
        <sz val="9"/>
        <color rgb="FF595959"/>
        <rFont val="Arial"/>
        <family val="0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재무활동은 입력값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파란색</t>
    </r>
    <r>
      <rPr>
        <i val="true"/>
        <sz val="9"/>
        <color rgb="FF595959"/>
        <rFont val="Arial"/>
        <family val="0"/>
        <charset val="1"/>
      </rPr>
      <t xml:space="preserve">). </t>
    </r>
    <r>
      <rPr>
        <i val="true"/>
        <sz val="9"/>
        <color rgb="FF595959"/>
        <rFont val="WenQuanYi Zen Hei"/>
        <family val="2"/>
      </rPr>
      <t xml:space="preserve">기말현금이 재무상태표 현금으로 연결됩니다</t>
    </r>
    <r>
      <rPr>
        <i val="true"/>
        <sz val="9"/>
        <color rgb="FF595959"/>
        <rFont val="Arial"/>
        <family val="0"/>
        <charset val="1"/>
      </rPr>
      <t xml:space="preserve">.</t>
    </r>
  </si>
  <si>
    <t xml:space="preserve">참고</t>
  </si>
  <si>
    <r>
      <rPr>
        <b val="true"/>
        <sz val="10"/>
        <rFont val="Arial"/>
        <family val="0"/>
        <charset val="1"/>
      </rPr>
      <t xml:space="preserve">Ⅰ. </t>
    </r>
    <r>
      <rPr>
        <b val="true"/>
        <sz val="10"/>
        <rFont val="WenQuanYi Zen Hei"/>
        <family val="2"/>
      </rPr>
      <t xml:space="preserve">영업활동현금흐름</t>
    </r>
  </si>
  <si>
    <r>
      <rPr>
        <sz val="10"/>
        <rFont val="WenQuanYi Zen Hei"/>
        <family val="2"/>
      </rPr>
      <t xml:space="preserve">  당기순이익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손실</t>
    </r>
    <r>
      <rPr>
        <sz val="10"/>
        <rFont val="Arial"/>
        <family val="0"/>
        <charset val="1"/>
      </rPr>
      <t xml:space="preserve">)</t>
    </r>
  </si>
  <si>
    <t xml:space="preserve">  감가상각비 가산</t>
  </si>
  <si>
    <t xml:space="preserve">  무형자산상각비 가산</t>
  </si>
  <si>
    <r>
      <rPr>
        <b val="true"/>
        <sz val="10"/>
        <rFont val="Arial"/>
        <family val="0"/>
        <charset val="1"/>
      </rPr>
      <t xml:space="preserve">  [</t>
    </r>
    <r>
      <rPr>
        <b val="true"/>
        <sz val="10"/>
        <rFont val="WenQuanYi Zen Hei"/>
        <family val="2"/>
      </rPr>
      <t xml:space="preserve">운전자본 변동</t>
    </r>
    <r>
      <rPr>
        <b val="true"/>
        <sz val="10"/>
        <rFont val="Arial"/>
        <family val="0"/>
        <charset val="1"/>
      </rPr>
      <t xml:space="preserve">]</t>
    </r>
  </si>
  <si>
    <r>
      <rPr>
        <sz val="10"/>
        <rFont val="WenQuanYi Zen Hei"/>
        <family val="2"/>
      </rPr>
      <t xml:space="preserve">  매출채권 감소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증가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</si>
  <si>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  미수금</t>
    </r>
    <r>
      <rPr>
        <sz val="10"/>
        <rFont val="Arial"/>
        <family val="0"/>
        <charset val="1"/>
      </rPr>
      <t xml:space="preserve">(PG) </t>
    </r>
    <r>
      <rPr>
        <sz val="10"/>
        <rFont val="WenQuanYi Zen Hei"/>
        <family val="2"/>
      </rPr>
      <t xml:space="preserve">감소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증가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</si>
  <si>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  선급금 감소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증가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</si>
  <si>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  부가세대급금 감소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증가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</si>
  <si>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  매입채무 증가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감소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</si>
  <si>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  미지급금 증가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감소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</si>
  <si>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  예수금 증가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감소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</si>
  <si>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  셀러 정산 예수금 증가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감소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</si>
  <si>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  부가세예수금 증가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감소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</si>
  <si>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  선수수익 증가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감소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</si>
  <si>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  선수금 증가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감소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</si>
  <si>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  미지급법인세 증가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감소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</si>
  <si>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Ⅱ. </t>
    </r>
    <r>
      <rPr>
        <b val="true"/>
        <sz val="10"/>
        <rFont val="WenQuanYi Zen Hei"/>
        <family val="2"/>
      </rPr>
      <t xml:space="preserve">투자활동현금흐름</t>
    </r>
  </si>
  <si>
    <t xml:space="preserve">  유형자산 취득</t>
  </si>
  <si>
    <r>
      <rPr>
        <i val="true"/>
        <sz val="9"/>
        <color rgb="FF595959"/>
        <rFont val="WenQuanYi Zen Hei"/>
        <family val="2"/>
      </rPr>
      <t xml:space="preserve">노트북</t>
    </r>
    <r>
      <rPr>
        <i val="true"/>
        <sz val="9"/>
        <color rgb="FF595959"/>
        <rFont val="Arial"/>
        <family val="0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비품 등</t>
    </r>
    <r>
      <rPr>
        <i val="true"/>
        <sz val="9"/>
        <color rgb="FF595959"/>
        <rFont val="Arial"/>
        <family val="0"/>
        <charset val="1"/>
      </rPr>
      <t xml:space="preserve">, 5</t>
    </r>
    <r>
      <rPr>
        <i val="true"/>
        <sz val="9"/>
        <color rgb="FF595959"/>
        <rFont val="WenQuanYi Zen Hei"/>
        <family val="2"/>
      </rPr>
      <t xml:space="preserve">년 정액 상각</t>
    </r>
  </si>
  <si>
    <t xml:space="preserve">  무형자산 취득</t>
  </si>
  <si>
    <r>
      <rPr>
        <i val="true"/>
        <sz val="9"/>
        <color rgb="FF595959"/>
        <rFont val="WenQuanYi Zen Hei"/>
        <family val="2"/>
      </rPr>
      <t xml:space="preserve">상표권</t>
    </r>
    <r>
      <rPr>
        <i val="true"/>
        <sz val="9"/>
        <color rgb="FF595959"/>
        <rFont val="Arial"/>
        <family val="0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특허</t>
    </r>
    <r>
      <rPr>
        <i val="true"/>
        <sz val="9"/>
        <color rgb="FF595959"/>
        <rFont val="Arial"/>
        <family val="0"/>
        <charset val="1"/>
      </rPr>
      <t xml:space="preserve">, 10</t>
    </r>
    <r>
      <rPr>
        <i val="true"/>
        <sz val="9"/>
        <color rgb="FF595959"/>
        <rFont val="WenQuanYi Zen Hei"/>
        <family val="2"/>
      </rPr>
      <t xml:space="preserve">년 정액 상각</t>
    </r>
  </si>
  <si>
    <t xml:space="preserve">  임차보증금 지급</t>
  </si>
  <si>
    <r>
      <rPr>
        <i val="true"/>
        <sz val="9"/>
        <color rgb="FF595959"/>
        <rFont val="Arial"/>
        <family val="0"/>
        <charset val="1"/>
      </rPr>
      <t xml:space="preserve">2027-01 </t>
    </r>
    <r>
      <rPr>
        <i val="true"/>
        <sz val="9"/>
        <color rgb="FF595959"/>
        <rFont val="WenQuanYi Zen Hei"/>
        <family val="2"/>
      </rPr>
      <t xml:space="preserve">사무실 이전 대비 보증금</t>
    </r>
  </si>
  <si>
    <r>
      <rPr>
        <b val="true"/>
        <sz val="10"/>
        <rFont val="Arial"/>
        <family val="0"/>
        <charset val="1"/>
      </rPr>
      <t xml:space="preserve">Ⅲ. </t>
    </r>
    <r>
      <rPr>
        <b val="true"/>
        <sz val="10"/>
        <rFont val="WenQuanYi Zen Hei"/>
        <family val="2"/>
      </rPr>
      <t xml:space="preserve">재무활동현금흐름</t>
    </r>
  </si>
  <si>
    <t xml:space="preserve">  장기차입금 차입</t>
  </si>
  <si>
    <r>
      <rPr>
        <i val="true"/>
        <sz val="9"/>
        <color rgb="FF595959"/>
        <rFont val="Arial"/>
        <family val="0"/>
        <charset val="1"/>
      </rPr>
      <t xml:space="preserve">2025-11 </t>
    </r>
    <r>
      <rPr>
        <i val="true"/>
        <sz val="9"/>
        <color rgb="FF595959"/>
        <rFont val="WenQuanYi Zen Hei"/>
        <family val="2"/>
      </rPr>
      <t xml:space="preserve">정책자금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연 </t>
    </r>
    <r>
      <rPr>
        <i val="true"/>
        <sz val="9"/>
        <color rgb="FF595959"/>
        <rFont val="Arial"/>
        <family val="0"/>
        <charset val="1"/>
      </rPr>
      <t xml:space="preserve">2.5%, </t>
    </r>
    <r>
      <rPr>
        <i val="true"/>
        <sz val="9"/>
        <color rgb="FF595959"/>
        <rFont val="WenQuanYi Zen Hei"/>
        <family val="2"/>
      </rPr>
      <t xml:space="preserve">거치 </t>
    </r>
    <r>
      <rPr>
        <i val="true"/>
        <sz val="9"/>
        <color rgb="FF595959"/>
        <rFont val="Arial"/>
        <family val="0"/>
        <charset val="1"/>
      </rPr>
      <t xml:space="preserve">2</t>
    </r>
    <r>
      <rPr>
        <i val="true"/>
        <sz val="9"/>
        <color rgb="FF595959"/>
        <rFont val="WenQuanYi Zen Hei"/>
        <family val="2"/>
      </rPr>
      <t xml:space="preserve">년</t>
    </r>
    <r>
      <rPr>
        <i val="true"/>
        <sz val="9"/>
        <color rgb="FF595959"/>
        <rFont val="Arial"/>
        <family val="0"/>
        <charset val="1"/>
      </rPr>
      <t xml:space="preserve">)</t>
    </r>
  </si>
  <si>
    <t xml:space="preserve">  장기차입금 상환</t>
  </si>
  <si>
    <r>
      <rPr>
        <i val="true"/>
        <sz val="9"/>
        <color rgb="FF595959"/>
        <rFont val="Arial"/>
        <family val="0"/>
        <charset val="1"/>
      </rPr>
      <t xml:space="preserve">2027-11~ 36</t>
    </r>
    <r>
      <rPr>
        <i val="true"/>
        <sz val="9"/>
        <color rgb="FF595959"/>
        <rFont val="WenQuanYi Zen Hei"/>
        <family val="2"/>
      </rPr>
      <t xml:space="preserve">개월 균등분할상환</t>
    </r>
  </si>
  <si>
    <r>
      <rPr>
        <sz val="10"/>
        <color rgb="FF000000"/>
        <rFont val="WenQuanYi Zen Hei"/>
        <family val="2"/>
      </rPr>
      <t xml:space="preserve">  유상증자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자본금</t>
    </r>
    <r>
      <rPr>
        <sz val="10"/>
        <color rgb="FF000000"/>
        <rFont val="Arial"/>
        <family val="0"/>
        <charset val="1"/>
      </rPr>
      <t xml:space="preserve">)</t>
    </r>
  </si>
  <si>
    <r>
      <rPr>
        <i val="true"/>
        <sz val="9"/>
        <color rgb="FF595959"/>
        <rFont val="Arial"/>
        <family val="0"/>
        <charset val="1"/>
      </rPr>
      <t xml:space="preserve">2025-05 </t>
    </r>
    <r>
      <rPr>
        <i val="true"/>
        <sz val="9"/>
        <color rgb="FF595959"/>
        <rFont val="WenQuanYi Zen Hei"/>
        <family val="2"/>
      </rPr>
      <t xml:space="preserve">설립자본금</t>
    </r>
    <r>
      <rPr>
        <i val="true"/>
        <sz val="9"/>
        <color rgb="FF595959"/>
        <rFont val="Arial"/>
        <family val="0"/>
        <charset val="1"/>
      </rPr>
      <t xml:space="preserve">, 2026-04 </t>
    </r>
    <r>
      <rPr>
        <i val="true"/>
        <sz val="9"/>
        <color rgb="FF595959"/>
        <rFont val="WenQuanYi Zen Hei"/>
        <family val="2"/>
      </rPr>
      <t xml:space="preserve">시드투자 </t>
    </r>
    <r>
      <rPr>
        <i val="true"/>
        <sz val="9"/>
        <color rgb="FF595959"/>
        <rFont val="Arial"/>
        <family val="0"/>
        <charset val="1"/>
      </rPr>
      <t xml:space="preserve">5</t>
    </r>
    <r>
      <rPr>
        <i val="true"/>
        <sz val="9"/>
        <color rgb="FF595959"/>
        <rFont val="WenQuanYi Zen Hei"/>
        <family val="2"/>
      </rPr>
      <t xml:space="preserve">억</t>
    </r>
  </si>
  <si>
    <r>
      <rPr>
        <sz val="10"/>
        <color rgb="FF000000"/>
        <rFont val="WenQuanYi Zen Hei"/>
        <family val="2"/>
      </rPr>
      <t xml:space="preserve">  유상증자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주식발행초과금</t>
    </r>
    <r>
      <rPr>
        <sz val="10"/>
        <color rgb="FF00000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</si>
  <si>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Ⅳ. </t>
    </r>
    <r>
      <rPr>
        <b val="true"/>
        <sz val="10"/>
        <rFont val="WenQuanYi Zen Hei"/>
        <family val="2"/>
      </rPr>
      <t xml:space="preserve">현금 증감</t>
    </r>
    <r>
      <rPr>
        <b val="true"/>
        <sz val="10"/>
        <rFont val="Arial"/>
        <family val="0"/>
        <charset val="1"/>
      </rPr>
      <t xml:space="preserve">(Ⅰ+Ⅱ+Ⅲ)</t>
    </r>
  </si>
  <si>
    <r>
      <rPr>
        <sz val="10"/>
        <rFont val="Arial"/>
        <family val="0"/>
        <charset val="1"/>
      </rPr>
      <t xml:space="preserve">Ⅴ. </t>
    </r>
    <r>
      <rPr>
        <sz val="10"/>
        <rFont val="WenQuanYi Zen Hei"/>
        <family val="2"/>
      </rPr>
      <t xml:space="preserve">기초 현금</t>
    </r>
  </si>
  <si>
    <r>
      <rPr>
        <b val="true"/>
        <sz val="10"/>
        <rFont val="Arial"/>
        <family val="0"/>
        <charset val="1"/>
      </rPr>
      <t xml:space="preserve">Ⅵ. </t>
    </r>
    <r>
      <rPr>
        <b val="true"/>
        <sz val="10"/>
        <rFont val="WenQuanYi Zen Hei"/>
        <family val="2"/>
      </rPr>
      <t xml:space="preserve">기말 현금</t>
    </r>
  </si>
  <si>
    <r>
      <rPr>
        <sz val="10"/>
        <rFont val="WenQuanYi Zen Hei"/>
        <family val="2"/>
      </rPr>
      <t xml:space="preserve">참고</t>
    </r>
    <r>
      <rPr>
        <sz val="10"/>
        <rFont val="Arial"/>
        <family val="0"/>
        <charset val="1"/>
      </rPr>
      <t xml:space="preserve">: Free Cash Flow(Ⅰ+Ⅱ)</t>
    </r>
  </si>
  <si>
    <r>
      <rPr>
        <b val="true"/>
        <sz val="13"/>
        <rFont val="WenQuanYi Zen Hei"/>
        <family val="2"/>
      </rPr>
      <t xml:space="preserve">재무상태표</t>
    </r>
    <r>
      <rPr>
        <b val="true"/>
        <sz val="13"/>
        <rFont val="Arial"/>
        <family val="0"/>
        <charset val="1"/>
      </rPr>
      <t xml:space="preserve">(BS) </t>
    </r>
    <r>
      <rPr>
        <b val="true"/>
        <sz val="13"/>
        <rFont val="WenQuanYi Zen Hei"/>
        <family val="2"/>
      </rPr>
      <t xml:space="preserve">월말 잔액 </t>
    </r>
    <r>
      <rPr>
        <b val="true"/>
        <sz val="13"/>
        <rFont val="Arial"/>
        <family val="0"/>
        <charset val="1"/>
      </rPr>
      <t xml:space="preserve">(</t>
    </r>
    <r>
      <rPr>
        <b val="true"/>
        <sz val="13"/>
        <rFont val="WenQuanYi Zen Hei"/>
        <family val="2"/>
      </rPr>
      <t xml:space="preserve">단위</t>
    </r>
    <r>
      <rPr>
        <b val="true"/>
        <sz val="13"/>
        <rFont val="Arial"/>
        <family val="0"/>
        <charset val="1"/>
      </rPr>
      <t xml:space="preserve">: </t>
    </r>
    <r>
      <rPr>
        <b val="true"/>
        <sz val="13"/>
        <rFont val="WenQuanYi Zen Hei"/>
        <family val="2"/>
      </rPr>
      <t xml:space="preserve">원</t>
    </r>
    <r>
      <rPr>
        <b val="true"/>
        <sz val="13"/>
        <rFont val="Arial"/>
        <family val="0"/>
        <charset val="1"/>
      </rPr>
      <t xml:space="preserve">)</t>
    </r>
  </si>
  <si>
    <r>
      <rPr>
        <i val="true"/>
        <sz val="9"/>
        <color rgb="FF595959"/>
        <rFont val="Arial"/>
        <family val="0"/>
        <charset val="1"/>
      </rPr>
      <t xml:space="preserve">※ 2025-12</t>
    </r>
    <r>
      <rPr>
        <i val="true"/>
        <sz val="9"/>
        <color rgb="FF595959"/>
        <rFont val="WenQuanYi Zen Hei"/>
        <family val="2"/>
      </rPr>
      <t xml:space="preserve">월 잔액은 </t>
    </r>
    <r>
      <rPr>
        <i val="true"/>
        <sz val="9"/>
        <color rgb="FF595959"/>
        <rFont val="Arial"/>
        <family val="0"/>
        <charset val="1"/>
      </rPr>
      <t xml:space="preserve">2025 </t>
    </r>
    <r>
      <rPr>
        <i val="true"/>
        <sz val="9"/>
        <color rgb="FF595959"/>
        <rFont val="WenQuanYi Zen Hei"/>
        <family val="2"/>
      </rPr>
      <t xml:space="preserve">표준재무상태표와 원 단위까지 일치</t>
    </r>
    <r>
      <rPr>
        <i val="true"/>
        <sz val="9"/>
        <color rgb="FF595959"/>
        <rFont val="Arial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운전자본 항목은 입력값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파란색</t>
    </r>
    <r>
      <rPr>
        <i val="true"/>
        <sz val="9"/>
        <color rgb="FF595959"/>
        <rFont val="Arial"/>
        <family val="0"/>
        <charset val="1"/>
      </rPr>
      <t xml:space="preserve">), </t>
    </r>
    <r>
      <rPr>
        <i val="true"/>
        <sz val="9"/>
        <color rgb="FF595959"/>
        <rFont val="WenQuanYi Zen Hei"/>
        <family val="2"/>
      </rPr>
      <t xml:space="preserve">현금</t>
    </r>
    <r>
      <rPr>
        <i val="true"/>
        <sz val="9"/>
        <color rgb="FF595959"/>
        <rFont val="Arial"/>
        <family val="0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유무형자산</t>
    </r>
    <r>
      <rPr>
        <i val="true"/>
        <sz val="9"/>
        <color rgb="FF595959"/>
        <rFont val="Arial"/>
        <family val="0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차입금</t>
    </r>
    <r>
      <rPr>
        <i val="true"/>
        <sz val="9"/>
        <color rgb="FF595959"/>
        <rFont val="Arial"/>
        <family val="0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자본은 현금흐름표</t>
    </r>
    <r>
      <rPr>
        <i val="true"/>
        <sz val="9"/>
        <color rgb="FF595959"/>
        <rFont val="Arial"/>
        <family val="0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손익계산서와 연결된 산식</t>
    </r>
    <r>
      <rPr>
        <i val="true"/>
        <sz val="9"/>
        <color rgb="FF595959"/>
        <rFont val="Arial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연간 열은 각 연도 말</t>
    </r>
    <r>
      <rPr>
        <i val="true"/>
        <sz val="9"/>
        <color rgb="FF595959"/>
        <rFont val="Arial"/>
        <family val="0"/>
        <charset val="1"/>
      </rPr>
      <t xml:space="preserve">(2028</t>
    </r>
    <r>
      <rPr>
        <i val="true"/>
        <sz val="9"/>
        <color rgb="FF595959"/>
        <rFont val="WenQuanYi Zen Hei"/>
        <family val="2"/>
      </rPr>
      <t xml:space="preserve">은 </t>
    </r>
    <r>
      <rPr>
        <i val="true"/>
        <sz val="9"/>
        <color rgb="FF595959"/>
        <rFont val="Arial"/>
        <family val="0"/>
        <charset val="1"/>
      </rPr>
      <t xml:space="preserve">4</t>
    </r>
    <r>
      <rPr>
        <i val="true"/>
        <sz val="9"/>
        <color rgb="FF595959"/>
        <rFont val="WenQuanYi Zen Hei"/>
        <family val="2"/>
      </rPr>
      <t xml:space="preserve">월 말</t>
    </r>
    <r>
      <rPr>
        <i val="true"/>
        <sz val="9"/>
        <color rgb="FF595959"/>
        <rFont val="Arial"/>
        <family val="0"/>
        <charset val="1"/>
      </rPr>
      <t xml:space="preserve">) </t>
    </r>
    <r>
      <rPr>
        <i val="true"/>
        <sz val="9"/>
        <color rgb="FF595959"/>
        <rFont val="WenQuanYi Zen Hei"/>
        <family val="2"/>
      </rPr>
      <t xml:space="preserve">잔액</t>
    </r>
    <r>
      <rPr>
        <i val="true"/>
        <sz val="9"/>
        <color rgb="FF595959"/>
        <rFont val="Arial"/>
        <family val="0"/>
        <charset val="1"/>
      </rPr>
      <t xml:space="preserve">.</t>
    </r>
  </si>
  <si>
    <t xml:space="preserve">계정과목</t>
  </si>
  <si>
    <t xml:space="preserve">산정 기준</t>
  </si>
  <si>
    <r>
      <rPr>
        <b val="true"/>
        <sz val="10"/>
        <color rgb="FFFFFFFF"/>
        <rFont val="WenQuanYi Zen Hei"/>
        <family val="2"/>
      </rPr>
      <t xml:space="preserve">참고</t>
    </r>
    <r>
      <rPr>
        <b val="true"/>
        <sz val="10"/>
        <color rgb="FFFFFFFF"/>
        <rFont val="Arial"/>
        <family val="0"/>
        <charset val="1"/>
      </rPr>
      <t xml:space="preserve">_</t>
    </r>
    <r>
      <rPr>
        <b val="true"/>
        <sz val="10"/>
        <color rgb="FFFFFFFF"/>
        <rFont val="WenQuanYi Zen Hei"/>
        <family val="2"/>
      </rPr>
      <t xml:space="preserve">표준재무상태표 계정</t>
    </r>
    <r>
      <rPr>
        <b val="true"/>
        <sz val="10"/>
        <color rgb="FFFFFFFF"/>
        <rFont val="Arial"/>
        <family val="0"/>
        <charset val="1"/>
      </rPr>
      <t xml:space="preserve">(2025 </t>
    </r>
    <r>
      <rPr>
        <b val="true"/>
        <sz val="10"/>
        <color rgb="FFFFFFFF"/>
        <rFont val="WenQuanYi Zen Hei"/>
        <family val="2"/>
      </rPr>
      <t xml:space="preserve">신고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</si>
  <si>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[</t>
    </r>
    <r>
      <rPr>
        <b val="true"/>
        <sz val="10"/>
        <rFont val="WenQuanYi Zen Hei"/>
        <family val="2"/>
      </rPr>
      <t xml:space="preserve">자산</t>
    </r>
    <r>
      <rPr>
        <b val="true"/>
        <sz val="10"/>
        <rFont val="Arial"/>
        <family val="0"/>
        <charset val="1"/>
      </rPr>
      <t xml:space="preserve">]</t>
    </r>
  </si>
  <si>
    <t xml:space="preserve">유동자산</t>
  </si>
  <si>
    <r>
      <rPr>
        <sz val="10"/>
        <color rgb="FF000000"/>
        <rFont val="Arial"/>
        <family val="0"/>
        <charset val="1"/>
      </rPr>
      <t xml:space="preserve">Ⅰ.</t>
    </r>
    <r>
      <rPr>
        <sz val="10"/>
        <color rgb="FF000000"/>
        <rFont val="WenQuanYi Zen Hei"/>
        <family val="2"/>
      </rPr>
      <t xml:space="preserve">유동자산</t>
    </r>
  </si>
  <si>
    <t xml:space="preserve">  현금및현금성자산</t>
  </si>
  <si>
    <t xml:space="preserve">현금흐름표 기말현금</t>
  </si>
  <si>
    <r>
      <rPr>
        <sz val="10"/>
        <color rgb="FF000000"/>
        <rFont val="Arial"/>
        <family val="0"/>
        <charset val="1"/>
      </rPr>
      <t xml:space="preserve">1.</t>
    </r>
    <r>
      <rPr>
        <sz val="10"/>
        <color rgb="FF000000"/>
        <rFont val="WenQuanYi Zen Hei"/>
        <family val="2"/>
      </rPr>
      <t xml:space="preserve">현금 및 현금성자산</t>
    </r>
  </si>
  <si>
    <t xml:space="preserve">  매출채권</t>
  </si>
  <si>
    <r>
      <rPr>
        <i val="true"/>
        <sz val="9"/>
        <color rgb="FF595959"/>
        <rFont val="WenQuanYi Zen Hei"/>
        <family val="2"/>
      </rPr>
      <t xml:space="preserve">법인 월정산 </t>
    </r>
    <r>
      <rPr>
        <i val="true"/>
        <sz val="9"/>
        <color rgb="FF595959"/>
        <rFont val="Arial"/>
        <family val="0"/>
        <charset val="1"/>
      </rPr>
      <t xml:space="preserve">30</t>
    </r>
    <r>
      <rPr>
        <i val="true"/>
        <sz val="9"/>
        <color rgb="FF595959"/>
        <rFont val="WenQuanYi Zen Hei"/>
        <family val="2"/>
      </rPr>
      <t xml:space="preserve">일</t>
    </r>
    <r>
      <rPr>
        <i val="true"/>
        <sz val="9"/>
        <color rgb="FF595959"/>
        <rFont val="Arial"/>
        <family val="0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연간계약 </t>
    </r>
    <r>
      <rPr>
        <i val="true"/>
        <sz val="9"/>
        <color rgb="FF595959"/>
        <rFont val="Arial"/>
        <family val="0"/>
        <charset val="1"/>
      </rPr>
      <t xml:space="preserve">60</t>
    </r>
    <r>
      <rPr>
        <i val="true"/>
        <sz val="9"/>
        <color rgb="FF595959"/>
        <rFont val="WenQuanYi Zen Hei"/>
        <family val="2"/>
      </rPr>
      <t xml:space="preserve">일 회수</t>
    </r>
    <r>
      <rPr>
        <i val="true"/>
        <sz val="9"/>
        <color rgb="FF595959"/>
        <rFont val="Arial"/>
        <family val="0"/>
        <charset val="1"/>
      </rPr>
      <t xml:space="preserve">(VAT </t>
    </r>
    <r>
      <rPr>
        <i val="true"/>
        <sz val="9"/>
        <color rgb="FF595959"/>
        <rFont val="WenQuanYi Zen Hei"/>
        <family val="2"/>
      </rPr>
      <t xml:space="preserve">포함</t>
    </r>
    <r>
      <rPr>
        <i val="true"/>
        <sz val="9"/>
        <color rgb="FF595959"/>
        <rFont val="Arial"/>
        <family val="0"/>
        <charset val="1"/>
      </rPr>
      <t xml:space="preserve">)</t>
    </r>
  </si>
  <si>
    <t xml:space="preserve">매출채권</t>
  </si>
  <si>
    <r>
      <rPr>
        <sz val="10"/>
        <color rgb="FF000000"/>
        <rFont val="WenQuanYi Zen Hei"/>
        <family val="2"/>
      </rPr>
      <t xml:space="preserve">  미수금</t>
    </r>
    <r>
      <rPr>
        <sz val="10"/>
        <color rgb="FF000000"/>
        <rFont val="Arial"/>
        <family val="0"/>
        <charset val="1"/>
      </rPr>
      <t xml:space="preserve">(PG </t>
    </r>
    <r>
      <rPr>
        <sz val="10"/>
        <color rgb="FF000000"/>
        <rFont val="WenQuanYi Zen Hei"/>
        <family val="2"/>
      </rPr>
      <t xml:space="preserve">카드정산 대기</t>
    </r>
    <r>
      <rPr>
        <sz val="10"/>
        <color rgb="FF000000"/>
        <rFont val="Arial"/>
        <family val="0"/>
        <charset val="1"/>
      </rPr>
      <t xml:space="preserve">)</t>
    </r>
  </si>
  <si>
    <r>
      <rPr>
        <i val="true"/>
        <sz val="9"/>
        <color rgb="FF595959"/>
        <rFont val="WenQuanYi Zen Hei"/>
        <family val="2"/>
      </rPr>
      <t xml:space="preserve">월말 카드결제액의 </t>
    </r>
    <r>
      <rPr>
        <i val="true"/>
        <sz val="9"/>
        <color rgb="FF595959"/>
        <rFont val="Arial"/>
        <family val="0"/>
        <charset val="1"/>
      </rPr>
      <t xml:space="preserve">15% </t>
    </r>
    <r>
      <rPr>
        <i val="true"/>
        <sz val="9"/>
        <color rgb="FF595959"/>
        <rFont val="WenQuanYi Zen Hei"/>
        <family val="2"/>
      </rPr>
      <t xml:space="preserve">정산 대기</t>
    </r>
    <r>
      <rPr>
        <i val="true"/>
        <sz val="9"/>
        <color rgb="FF595959"/>
        <rFont val="Arial"/>
        <family val="0"/>
        <charset val="1"/>
      </rPr>
      <t xml:space="preserve">(D+3~5)</t>
    </r>
  </si>
  <si>
    <t xml:space="preserve">미수금</t>
  </si>
  <si>
    <t xml:space="preserve">  선급금</t>
  </si>
  <si>
    <r>
      <rPr>
        <i val="true"/>
        <sz val="9"/>
        <color rgb="FF595959"/>
        <rFont val="WenQuanYi Zen Hei"/>
        <family val="2"/>
      </rPr>
      <t xml:space="preserve">컨퍼런스 대관 계약금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대관료 </t>
    </r>
    <r>
      <rPr>
        <i val="true"/>
        <sz val="9"/>
        <color rgb="FF595959"/>
        <rFont val="Arial"/>
        <family val="0"/>
        <charset val="1"/>
      </rPr>
      <t xml:space="preserve">30%)</t>
    </r>
  </si>
  <si>
    <r>
      <rPr>
        <sz val="10"/>
        <color rgb="FF000000"/>
        <rFont val="Arial"/>
        <family val="0"/>
        <charset val="1"/>
      </rPr>
      <t xml:space="preserve">7.</t>
    </r>
    <r>
      <rPr>
        <sz val="10"/>
        <color rgb="FF000000"/>
        <rFont val="WenQuanYi Zen Hei"/>
        <family val="2"/>
      </rPr>
      <t xml:space="preserve">선급금</t>
    </r>
  </si>
  <si>
    <r>
      <rPr>
        <sz val="10"/>
        <color rgb="FF000000"/>
        <rFont val="WenQuanYi Zen Hei"/>
        <family val="2"/>
      </rPr>
      <t xml:space="preserve">  부가세대급금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환급예정</t>
    </r>
    <r>
      <rPr>
        <sz val="10"/>
        <color rgb="FF000000"/>
        <rFont val="Arial"/>
        <family val="0"/>
        <charset val="1"/>
      </rPr>
      <t xml:space="preserve">)</t>
    </r>
  </si>
  <si>
    <r>
      <rPr>
        <i val="true"/>
        <sz val="9"/>
        <color rgb="FF595959"/>
        <rFont val="WenQuanYi Zen Hei"/>
        <family val="2"/>
      </rPr>
      <t xml:space="preserve">매입세액 </t>
    </r>
    <r>
      <rPr>
        <i val="true"/>
        <sz val="9"/>
        <color rgb="FF595959"/>
        <rFont val="Arial"/>
        <family val="0"/>
        <charset val="1"/>
      </rPr>
      <t xml:space="preserve">&gt; </t>
    </r>
    <r>
      <rPr>
        <i val="true"/>
        <sz val="9"/>
        <color rgb="FF595959"/>
        <rFont val="WenQuanYi Zen Hei"/>
        <family val="2"/>
      </rPr>
      <t xml:space="preserve">매출세액일 때</t>
    </r>
  </si>
  <si>
    <t xml:space="preserve">부가세대급금</t>
  </si>
  <si>
    <t xml:space="preserve">비유동자산</t>
  </si>
  <si>
    <r>
      <rPr>
        <sz val="10"/>
        <color rgb="FF000000"/>
        <rFont val="Arial"/>
        <family val="0"/>
        <charset val="1"/>
      </rPr>
      <t xml:space="preserve">Ⅱ.</t>
    </r>
    <r>
      <rPr>
        <sz val="10"/>
        <color rgb="FF000000"/>
        <rFont val="WenQuanYi Zen Hei"/>
        <family val="2"/>
      </rPr>
      <t xml:space="preserve">비유동자산</t>
    </r>
  </si>
  <si>
    <r>
      <rPr>
        <sz val="10"/>
        <rFont val="WenQuanYi Zen Hei"/>
        <family val="2"/>
      </rPr>
      <t xml:space="preserve">  유형자산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순액</t>
    </r>
    <r>
      <rPr>
        <sz val="10"/>
        <rFont val="Arial"/>
        <family val="0"/>
        <charset val="1"/>
      </rPr>
      <t xml:space="preserve">)</t>
    </r>
  </si>
  <si>
    <r>
      <rPr>
        <i val="true"/>
        <sz val="9"/>
        <color rgb="FF595959"/>
        <rFont val="WenQuanYi Zen Hei"/>
        <family val="2"/>
      </rPr>
      <t xml:space="preserve">전월</t>
    </r>
    <r>
      <rPr>
        <i val="true"/>
        <sz val="9"/>
        <color rgb="FF595959"/>
        <rFont val="Arial"/>
        <family val="0"/>
        <charset val="1"/>
      </rPr>
      <t xml:space="preserve">+</t>
    </r>
    <r>
      <rPr>
        <i val="true"/>
        <sz val="9"/>
        <color rgb="FF595959"/>
        <rFont val="WenQuanYi Zen Hei"/>
        <family val="2"/>
      </rPr>
      <t xml:space="preserve">취득</t>
    </r>
    <r>
      <rPr>
        <i val="true"/>
        <sz val="9"/>
        <color rgb="FF595959"/>
        <rFont val="Arial"/>
        <family val="0"/>
        <charset val="1"/>
      </rPr>
      <t xml:space="preserve">-</t>
    </r>
    <r>
      <rPr>
        <i val="true"/>
        <sz val="9"/>
        <color rgb="FF595959"/>
        <rFont val="WenQuanYi Zen Hei"/>
        <family val="2"/>
      </rPr>
      <t xml:space="preserve">감가상각</t>
    </r>
  </si>
  <si>
    <r>
      <rPr>
        <sz val="10"/>
        <color rgb="FF000000"/>
        <rFont val="Arial"/>
        <family val="0"/>
        <charset val="1"/>
      </rPr>
      <t xml:space="preserve">(2)</t>
    </r>
    <r>
      <rPr>
        <sz val="10"/>
        <color rgb="FF000000"/>
        <rFont val="WenQuanYi Zen Hei"/>
        <family val="2"/>
      </rPr>
      <t xml:space="preserve">유형자산</t>
    </r>
  </si>
  <si>
    <r>
      <rPr>
        <sz val="10"/>
        <rFont val="WenQuanYi Zen Hei"/>
        <family val="2"/>
      </rPr>
      <t xml:space="preserve">  무형자산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순액</t>
    </r>
    <r>
      <rPr>
        <sz val="10"/>
        <rFont val="Arial"/>
        <family val="0"/>
        <charset val="1"/>
      </rPr>
      <t xml:space="preserve">)</t>
    </r>
  </si>
  <si>
    <r>
      <rPr>
        <i val="true"/>
        <sz val="9"/>
        <color rgb="FF595959"/>
        <rFont val="WenQuanYi Zen Hei"/>
        <family val="2"/>
      </rPr>
      <t xml:space="preserve">전월</t>
    </r>
    <r>
      <rPr>
        <i val="true"/>
        <sz val="9"/>
        <color rgb="FF595959"/>
        <rFont val="Arial"/>
        <family val="0"/>
        <charset val="1"/>
      </rPr>
      <t xml:space="preserve">+</t>
    </r>
    <r>
      <rPr>
        <i val="true"/>
        <sz val="9"/>
        <color rgb="FF595959"/>
        <rFont val="WenQuanYi Zen Hei"/>
        <family val="2"/>
      </rPr>
      <t xml:space="preserve">취득</t>
    </r>
    <r>
      <rPr>
        <i val="true"/>
        <sz val="9"/>
        <color rgb="FF595959"/>
        <rFont val="Arial"/>
        <family val="0"/>
        <charset val="1"/>
      </rPr>
      <t xml:space="preserve">-</t>
    </r>
    <r>
      <rPr>
        <i val="true"/>
        <sz val="9"/>
        <color rgb="FF595959"/>
        <rFont val="WenQuanYi Zen Hei"/>
        <family val="2"/>
      </rPr>
      <t xml:space="preserve">상각</t>
    </r>
  </si>
  <si>
    <r>
      <rPr>
        <sz val="10"/>
        <color rgb="FF000000"/>
        <rFont val="Arial"/>
        <family val="0"/>
        <charset val="1"/>
      </rPr>
      <t xml:space="preserve">(3)</t>
    </r>
    <r>
      <rPr>
        <sz val="10"/>
        <color rgb="FF000000"/>
        <rFont val="WenQuanYi Zen Hei"/>
        <family val="2"/>
      </rPr>
      <t xml:space="preserve">무형자산</t>
    </r>
  </si>
  <si>
    <t xml:space="preserve">  임차보증금</t>
  </si>
  <si>
    <r>
      <rPr>
        <i val="true"/>
        <sz val="9"/>
        <color rgb="FF595959"/>
        <rFont val="WenQuanYi Zen Hei"/>
        <family val="2"/>
      </rPr>
      <t xml:space="preserve">전월</t>
    </r>
    <r>
      <rPr>
        <i val="true"/>
        <sz val="9"/>
        <color rgb="FF595959"/>
        <rFont val="Arial"/>
        <family val="0"/>
        <charset val="1"/>
      </rPr>
      <t xml:space="preserve">+</t>
    </r>
    <r>
      <rPr>
        <i val="true"/>
        <sz val="9"/>
        <color rgb="FF595959"/>
        <rFont val="WenQuanYi Zen Hei"/>
        <family val="2"/>
      </rPr>
      <t xml:space="preserve">지급</t>
    </r>
  </si>
  <si>
    <r>
      <rPr>
        <sz val="10"/>
        <color rgb="FF000000"/>
        <rFont val="Arial"/>
        <family val="0"/>
        <charset val="1"/>
      </rPr>
      <t xml:space="preserve">(4)</t>
    </r>
    <r>
      <rPr>
        <sz val="10"/>
        <color rgb="FF000000"/>
        <rFont val="WenQuanYi Zen Hei"/>
        <family val="2"/>
      </rPr>
      <t xml:space="preserve">기타비유동자산</t>
    </r>
  </si>
  <si>
    <r>
      <rPr>
        <b val="true"/>
        <sz val="10"/>
        <rFont val="Arial"/>
        <family val="0"/>
        <charset val="1"/>
      </rPr>
      <t xml:space="preserve">[</t>
    </r>
    <r>
      <rPr>
        <b val="true"/>
        <sz val="10"/>
        <rFont val="WenQuanYi Zen Hei"/>
        <family val="2"/>
      </rPr>
      <t xml:space="preserve">부채</t>
    </r>
    <r>
      <rPr>
        <b val="true"/>
        <sz val="10"/>
        <rFont val="Arial"/>
        <family val="0"/>
        <charset val="1"/>
      </rPr>
      <t xml:space="preserve">]</t>
    </r>
  </si>
  <si>
    <t xml:space="preserve">유동부채</t>
  </si>
  <si>
    <r>
      <rPr>
        <sz val="10"/>
        <color rgb="FF000000"/>
        <rFont val="Arial"/>
        <family val="0"/>
        <charset val="1"/>
      </rPr>
      <t xml:space="preserve">Ⅰ.</t>
    </r>
    <r>
      <rPr>
        <sz val="10"/>
        <color rgb="FF000000"/>
        <rFont val="WenQuanYi Zen Hei"/>
        <family val="2"/>
      </rPr>
      <t xml:space="preserve">유동부채</t>
    </r>
  </si>
  <si>
    <r>
      <rPr>
        <sz val="10"/>
        <color rgb="FF000000"/>
        <rFont val="WenQuanYi Zen Hei"/>
        <family val="2"/>
      </rPr>
      <t xml:space="preserve">  매입채무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외상매입금</t>
    </r>
    <r>
      <rPr>
        <sz val="10"/>
        <color rgb="FF000000"/>
        <rFont val="Arial"/>
        <family val="0"/>
        <charset val="1"/>
      </rPr>
      <t xml:space="preserve">)</t>
    </r>
  </si>
  <si>
    <r>
      <rPr>
        <i val="true"/>
        <sz val="9"/>
        <color rgb="FF595959"/>
        <rFont val="WenQuanYi Zen Hei"/>
        <family val="2"/>
      </rPr>
      <t xml:space="preserve">클라우드</t>
    </r>
    <r>
      <rPr>
        <i val="true"/>
        <sz val="9"/>
        <color rgb="FF595959"/>
        <rFont val="Arial"/>
        <family val="0"/>
        <charset val="1"/>
      </rPr>
      <t xml:space="preserve">·LLM API </t>
    </r>
    <r>
      <rPr>
        <i val="true"/>
        <sz val="9"/>
        <color rgb="FF595959"/>
        <rFont val="WenQuanYi Zen Hei"/>
        <family val="2"/>
      </rPr>
      <t xml:space="preserve">익월 청구분</t>
    </r>
  </si>
  <si>
    <r>
      <rPr>
        <sz val="10"/>
        <color rgb="FF000000"/>
        <rFont val="WenQuanYi Zen Hei"/>
        <family val="2"/>
      </rPr>
      <t xml:space="preserve">가</t>
    </r>
    <r>
      <rPr>
        <sz val="10"/>
        <color rgb="FF000000"/>
        <rFont val="Arial"/>
        <family val="0"/>
        <charset val="1"/>
      </rPr>
      <t xml:space="preserve">.</t>
    </r>
    <r>
      <rPr>
        <sz val="10"/>
        <color rgb="FF000000"/>
        <rFont val="WenQuanYi Zen Hei"/>
        <family val="2"/>
      </rPr>
      <t xml:space="preserve">외상매입금</t>
    </r>
  </si>
  <si>
    <t xml:space="preserve">  미지급금</t>
  </si>
  <si>
    <r>
      <rPr>
        <i val="true"/>
        <sz val="9"/>
        <color rgb="FF595959"/>
        <rFont val="WenQuanYi Zen Hei"/>
        <family val="2"/>
      </rPr>
      <t xml:space="preserve">법인카드 등 익월 결제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비인건 비용의 </t>
    </r>
    <r>
      <rPr>
        <i val="true"/>
        <sz val="9"/>
        <color rgb="FF595959"/>
        <rFont val="Arial"/>
        <family val="0"/>
        <charset val="1"/>
      </rPr>
      <t xml:space="preserve">55%)</t>
    </r>
  </si>
  <si>
    <r>
      <rPr>
        <sz val="10"/>
        <color rgb="FF000000"/>
        <rFont val="WenQuanYi Zen Hei"/>
        <family val="2"/>
      </rPr>
      <t xml:space="preserve">다</t>
    </r>
    <r>
      <rPr>
        <sz val="10"/>
        <color rgb="FF000000"/>
        <rFont val="Arial"/>
        <family val="0"/>
        <charset val="1"/>
      </rPr>
      <t xml:space="preserve">.</t>
    </r>
    <r>
      <rPr>
        <sz val="10"/>
        <color rgb="FF000000"/>
        <rFont val="WenQuanYi Zen Hei"/>
        <family val="2"/>
      </rPr>
      <t xml:space="preserve">기타미지급금</t>
    </r>
  </si>
  <si>
    <r>
      <rPr>
        <sz val="10"/>
        <color rgb="FF000000"/>
        <rFont val="WenQuanYi Zen Hei"/>
        <family val="2"/>
      </rPr>
      <t xml:space="preserve">  예수금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원천세</t>
    </r>
    <r>
      <rPr>
        <sz val="10"/>
        <color rgb="FF000000"/>
        <rFont val="Arial"/>
        <family val="0"/>
        <charset val="1"/>
      </rPr>
      <t xml:space="preserve">·4</t>
    </r>
    <r>
      <rPr>
        <sz val="10"/>
        <color rgb="FF000000"/>
        <rFont val="WenQuanYi Zen Hei"/>
        <family val="2"/>
      </rPr>
      <t xml:space="preserve">대보험</t>
    </r>
    <r>
      <rPr>
        <sz val="10"/>
        <color rgb="FF000000"/>
        <rFont val="Arial"/>
        <family val="0"/>
        <charset val="1"/>
      </rPr>
      <t xml:space="preserve">)</t>
    </r>
  </si>
  <si>
    <r>
      <rPr>
        <i val="true"/>
        <sz val="9"/>
        <color rgb="FF595959"/>
        <rFont val="WenQuanYi Zen Hei"/>
        <family val="2"/>
      </rPr>
      <t xml:space="preserve">급여의 </t>
    </r>
    <r>
      <rPr>
        <i val="true"/>
        <sz val="9"/>
        <color rgb="FF595959"/>
        <rFont val="Arial"/>
        <family val="0"/>
        <charset val="1"/>
      </rPr>
      <t xml:space="preserve">21.8%(</t>
    </r>
    <r>
      <rPr>
        <i val="true"/>
        <sz val="9"/>
        <color rgb="FF595959"/>
        <rFont val="WenQuanYi Zen Hei"/>
        <family val="2"/>
      </rPr>
      <t xml:space="preserve">근로자 원천분</t>
    </r>
    <r>
      <rPr>
        <i val="true"/>
        <sz val="9"/>
        <color rgb="FF595959"/>
        <rFont val="Arial"/>
        <family val="0"/>
        <charset val="1"/>
      </rPr>
      <t xml:space="preserve">+</t>
    </r>
    <r>
      <rPr>
        <i val="true"/>
        <sz val="9"/>
        <color rgb="FF595959"/>
        <rFont val="WenQuanYi Zen Hei"/>
        <family val="2"/>
      </rPr>
      <t xml:space="preserve">회사부담 </t>
    </r>
    <r>
      <rPr>
        <i val="true"/>
        <sz val="9"/>
        <color rgb="FF595959"/>
        <rFont val="Arial"/>
        <family val="0"/>
        <charset val="1"/>
      </rPr>
      <t xml:space="preserve">4</t>
    </r>
    <r>
      <rPr>
        <i val="true"/>
        <sz val="9"/>
        <color rgb="FF595959"/>
        <rFont val="WenQuanYi Zen Hei"/>
        <family val="2"/>
      </rPr>
      <t xml:space="preserve">대보험</t>
    </r>
    <r>
      <rPr>
        <i val="true"/>
        <sz val="9"/>
        <color rgb="FF595959"/>
        <rFont val="Arial"/>
        <family val="0"/>
        <charset val="1"/>
      </rPr>
      <t xml:space="preserve">) </t>
    </r>
    <r>
      <rPr>
        <i val="true"/>
        <sz val="9"/>
        <color rgb="FF595959"/>
        <rFont val="WenQuanYi Zen Hei"/>
        <family val="2"/>
      </rPr>
      <t xml:space="preserve">익월 납부</t>
    </r>
  </si>
  <si>
    <r>
      <rPr>
        <sz val="10"/>
        <color rgb="FF000000"/>
        <rFont val="WenQuanYi Zen Hei"/>
        <family val="2"/>
      </rPr>
      <t xml:space="preserve">라</t>
    </r>
    <r>
      <rPr>
        <sz val="10"/>
        <color rgb="FF000000"/>
        <rFont val="Arial"/>
        <family val="0"/>
        <charset val="1"/>
      </rPr>
      <t xml:space="preserve">.</t>
    </r>
    <r>
      <rPr>
        <sz val="10"/>
        <color rgb="FF000000"/>
        <rFont val="WenQuanYi Zen Hei"/>
        <family val="2"/>
      </rPr>
      <t xml:space="preserve">기타예수금</t>
    </r>
  </si>
  <si>
    <t xml:space="preserve">  셀러 정산 예수금</t>
  </si>
  <si>
    <r>
      <rPr>
        <i val="true"/>
        <sz val="9"/>
        <color rgb="FF595959"/>
        <rFont val="WenQuanYi Zen Hei"/>
        <family val="2"/>
      </rPr>
      <t xml:space="preserve">당월 </t>
    </r>
    <r>
      <rPr>
        <i val="true"/>
        <sz val="9"/>
        <color rgb="FF595959"/>
        <rFont val="Arial"/>
        <family val="0"/>
        <charset val="1"/>
      </rPr>
      <t xml:space="preserve">GMV-</t>
    </r>
    <r>
      <rPr>
        <i val="true"/>
        <sz val="9"/>
        <color rgb="FF595959"/>
        <rFont val="WenQuanYi Zen Hei"/>
        <family val="2"/>
      </rPr>
      <t xml:space="preserve">수수료</t>
    </r>
    <r>
      <rPr>
        <i val="true"/>
        <sz val="9"/>
        <color rgb="FF595959"/>
        <rFont val="Arial"/>
        <family val="0"/>
        <charset val="1"/>
      </rPr>
      <t xml:space="preserve">, </t>
    </r>
    <r>
      <rPr>
        <i val="true"/>
        <sz val="9"/>
        <color rgb="FF595959"/>
        <rFont val="WenQuanYi Zen Hei"/>
        <family val="2"/>
      </rPr>
      <t xml:space="preserve">익월 </t>
    </r>
    <r>
      <rPr>
        <i val="true"/>
        <sz val="9"/>
        <color rgb="FF595959"/>
        <rFont val="Arial"/>
        <family val="0"/>
        <charset val="1"/>
      </rPr>
      <t xml:space="preserve">10</t>
    </r>
    <r>
      <rPr>
        <i val="true"/>
        <sz val="9"/>
        <color rgb="FF595959"/>
        <rFont val="WenQuanYi Zen Hei"/>
        <family val="2"/>
      </rPr>
      <t xml:space="preserve">일 정산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개인셀러 </t>
    </r>
    <r>
      <rPr>
        <i val="true"/>
        <sz val="9"/>
        <color rgb="FF595959"/>
        <rFont val="Arial"/>
        <family val="0"/>
        <charset val="1"/>
      </rPr>
      <t xml:space="preserve">3.3% </t>
    </r>
    <r>
      <rPr>
        <i val="true"/>
        <sz val="9"/>
        <color rgb="FF595959"/>
        <rFont val="WenQuanYi Zen Hei"/>
        <family val="2"/>
      </rPr>
      <t xml:space="preserve">원천징수 포함</t>
    </r>
    <r>
      <rPr>
        <i val="true"/>
        <sz val="9"/>
        <color rgb="FF595959"/>
        <rFont val="Arial"/>
        <family val="0"/>
        <charset val="1"/>
      </rPr>
      <t xml:space="preserve">)</t>
    </r>
  </si>
  <si>
    <t xml:space="preserve">예수금</t>
  </si>
  <si>
    <t xml:space="preserve">  부가세예수금</t>
  </si>
  <si>
    <r>
      <rPr>
        <i val="true"/>
        <sz val="9"/>
        <color rgb="FF595959"/>
        <rFont val="WenQuanYi Zen Hei"/>
        <family val="2"/>
      </rPr>
      <t xml:space="preserve">매출세액</t>
    </r>
    <r>
      <rPr>
        <i val="true"/>
        <sz val="9"/>
        <color rgb="FF595959"/>
        <rFont val="Arial"/>
        <family val="0"/>
        <charset val="1"/>
      </rPr>
      <t xml:space="preserve">-</t>
    </r>
    <r>
      <rPr>
        <i val="true"/>
        <sz val="9"/>
        <color rgb="FF595959"/>
        <rFont val="WenQuanYi Zen Hei"/>
        <family val="2"/>
      </rPr>
      <t xml:space="preserve">매입세액</t>
    </r>
    <r>
      <rPr>
        <i val="true"/>
        <sz val="9"/>
        <color rgb="FF595959"/>
        <rFont val="Arial"/>
        <family val="0"/>
        <charset val="1"/>
      </rPr>
      <t xml:space="preserve">, </t>
    </r>
    <r>
      <rPr>
        <i val="true"/>
        <sz val="9"/>
        <color rgb="FF595959"/>
        <rFont val="WenQuanYi Zen Hei"/>
        <family val="2"/>
      </rPr>
      <t xml:space="preserve">분기 종료 익월 납부</t>
    </r>
  </si>
  <si>
    <r>
      <rPr>
        <sz val="10"/>
        <color rgb="FF000000"/>
        <rFont val="WenQuanYi Zen Hei"/>
        <family val="2"/>
      </rPr>
      <t xml:space="preserve">예수금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부가세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</si>
  <si>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  선수수익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연간구독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크레딧</t>
    </r>
    <r>
      <rPr>
        <sz val="10"/>
        <color rgb="FF000000"/>
        <rFont val="Arial"/>
        <family val="0"/>
        <charset val="1"/>
      </rPr>
      <t xml:space="preserve">)</t>
    </r>
  </si>
  <si>
    <r>
      <rPr>
        <i val="true"/>
        <sz val="9"/>
        <color rgb="FF595959"/>
        <rFont val="WenQuanYi Zen Hei"/>
        <family val="2"/>
      </rPr>
      <t xml:space="preserve">연간구독 미경과분 </t>
    </r>
    <r>
      <rPr>
        <i val="true"/>
        <sz val="9"/>
        <color rgb="FF595959"/>
        <rFont val="Arial"/>
        <family val="0"/>
        <charset val="1"/>
      </rPr>
      <t xml:space="preserve">+ </t>
    </r>
    <r>
      <rPr>
        <i val="true"/>
        <sz val="9"/>
        <color rgb="FF595959"/>
        <rFont val="WenQuanYi Zen Hei"/>
        <family val="2"/>
      </rPr>
      <t xml:space="preserve">크레딧 미사용분</t>
    </r>
  </si>
  <si>
    <t xml:space="preserve">선수수익</t>
  </si>
  <si>
    <r>
      <rPr>
        <sz val="10"/>
        <color rgb="FF000000"/>
        <rFont val="WenQuanYi Zen Hei"/>
        <family val="2"/>
      </rPr>
      <t xml:space="preserve">  선수금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컨퍼런스 사전판매</t>
    </r>
    <r>
      <rPr>
        <sz val="10"/>
        <color rgb="FF000000"/>
        <rFont val="Arial"/>
        <family val="0"/>
        <charset val="1"/>
      </rPr>
      <t xml:space="preserve">)</t>
    </r>
  </si>
  <si>
    <r>
      <rPr>
        <i val="true"/>
        <sz val="9"/>
        <color rgb="FF595959"/>
        <rFont val="WenQuanYi Zen Hei"/>
        <family val="2"/>
      </rPr>
      <t xml:space="preserve">행사 전월 판매분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티켓의 </t>
    </r>
    <r>
      <rPr>
        <i val="true"/>
        <sz val="9"/>
        <color rgb="FF595959"/>
        <rFont val="Arial"/>
        <family val="0"/>
        <charset val="1"/>
      </rPr>
      <t xml:space="preserve">40%)</t>
    </r>
  </si>
  <si>
    <t xml:space="preserve">선수금</t>
  </si>
  <si>
    <t xml:space="preserve">  미지급법인세</t>
  </si>
  <si>
    <r>
      <rPr>
        <i val="true"/>
        <sz val="9"/>
        <color rgb="FF595959"/>
        <rFont val="Arial"/>
        <family val="0"/>
        <charset val="1"/>
      </rPr>
      <t xml:space="preserve">2025 </t>
    </r>
    <r>
      <rPr>
        <i val="true"/>
        <sz val="9"/>
        <color rgb="FF595959"/>
        <rFont val="WenQuanYi Zen Hei"/>
        <family val="2"/>
      </rPr>
      <t xml:space="preserve">신고서 잔액</t>
    </r>
    <r>
      <rPr>
        <i val="true"/>
        <sz val="9"/>
        <color rgb="FF595959"/>
        <rFont val="Arial"/>
        <family val="0"/>
        <charset val="1"/>
      </rPr>
      <t xml:space="preserve">, 2026-03 </t>
    </r>
    <r>
      <rPr>
        <i val="true"/>
        <sz val="9"/>
        <color rgb="FF595959"/>
        <rFont val="WenQuanYi Zen Hei"/>
        <family val="2"/>
      </rPr>
      <t xml:space="preserve">납부 가정</t>
    </r>
  </si>
  <si>
    <r>
      <rPr>
        <sz val="10"/>
        <color rgb="FF000000"/>
        <rFont val="WenQuanYi Zen Hei"/>
        <family val="2"/>
      </rPr>
      <t xml:space="preserve">가</t>
    </r>
    <r>
      <rPr>
        <sz val="10"/>
        <color rgb="FF000000"/>
        <rFont val="Arial"/>
        <family val="0"/>
        <charset val="1"/>
      </rPr>
      <t xml:space="preserve">.</t>
    </r>
    <r>
      <rPr>
        <sz val="10"/>
        <color rgb="FF000000"/>
        <rFont val="WenQuanYi Zen Hei"/>
        <family val="2"/>
      </rPr>
      <t xml:space="preserve">미지급법인세</t>
    </r>
  </si>
  <si>
    <t xml:space="preserve">비유동부채</t>
  </si>
  <si>
    <r>
      <rPr>
        <sz val="10"/>
        <color rgb="FF000000"/>
        <rFont val="Arial"/>
        <family val="0"/>
        <charset val="1"/>
      </rPr>
      <t xml:space="preserve">Ⅱ.</t>
    </r>
    <r>
      <rPr>
        <sz val="10"/>
        <color rgb="FF000000"/>
        <rFont val="WenQuanYi Zen Hei"/>
        <family val="2"/>
      </rPr>
      <t xml:space="preserve">비유동부채</t>
    </r>
  </si>
  <si>
    <t xml:space="preserve">  장기차입금</t>
  </si>
  <si>
    <r>
      <rPr>
        <i val="true"/>
        <sz val="9"/>
        <color rgb="FF595959"/>
        <rFont val="WenQuanYi Zen Hei"/>
        <family val="2"/>
      </rPr>
      <t xml:space="preserve">전월</t>
    </r>
    <r>
      <rPr>
        <i val="true"/>
        <sz val="9"/>
        <color rgb="FF595959"/>
        <rFont val="Arial"/>
        <family val="0"/>
        <charset val="1"/>
      </rPr>
      <t xml:space="preserve">+</t>
    </r>
    <r>
      <rPr>
        <i val="true"/>
        <sz val="9"/>
        <color rgb="FF595959"/>
        <rFont val="WenQuanYi Zen Hei"/>
        <family val="2"/>
      </rPr>
      <t xml:space="preserve">차입</t>
    </r>
    <r>
      <rPr>
        <i val="true"/>
        <sz val="9"/>
        <color rgb="FF595959"/>
        <rFont val="Arial"/>
        <family val="0"/>
        <charset val="1"/>
      </rPr>
      <t xml:space="preserve">-</t>
    </r>
    <r>
      <rPr>
        <i val="true"/>
        <sz val="9"/>
        <color rgb="FF595959"/>
        <rFont val="WenQuanYi Zen Hei"/>
        <family val="2"/>
      </rPr>
      <t xml:space="preserve">상환</t>
    </r>
  </si>
  <si>
    <r>
      <rPr>
        <sz val="10"/>
        <color rgb="FF000000"/>
        <rFont val="WenQuanYi Zen Hei"/>
        <family val="2"/>
      </rPr>
      <t xml:space="preserve">다</t>
    </r>
    <r>
      <rPr>
        <sz val="10"/>
        <color rgb="FF000000"/>
        <rFont val="Arial"/>
        <family val="0"/>
        <charset val="1"/>
      </rPr>
      <t xml:space="preserve">.</t>
    </r>
    <r>
      <rPr>
        <sz val="10"/>
        <color rgb="FF000000"/>
        <rFont val="WenQuanYi Zen Hei"/>
        <family val="2"/>
      </rPr>
      <t xml:space="preserve">기타장기차입금</t>
    </r>
  </si>
  <si>
    <r>
      <rPr>
        <b val="true"/>
        <sz val="10"/>
        <rFont val="Arial"/>
        <family val="0"/>
        <charset val="1"/>
      </rPr>
      <t xml:space="preserve">[</t>
    </r>
    <r>
      <rPr>
        <b val="true"/>
        <sz val="10"/>
        <rFont val="WenQuanYi Zen Hei"/>
        <family val="2"/>
      </rPr>
      <t xml:space="preserve">자본</t>
    </r>
    <r>
      <rPr>
        <b val="true"/>
        <sz val="10"/>
        <rFont val="Arial"/>
        <family val="0"/>
        <charset val="1"/>
      </rPr>
      <t xml:space="preserve">]</t>
    </r>
  </si>
  <si>
    <t xml:space="preserve">  자본금</t>
  </si>
  <si>
    <r>
      <rPr>
        <sz val="10"/>
        <color rgb="FF000000"/>
        <rFont val="Arial"/>
        <family val="0"/>
        <charset val="1"/>
      </rPr>
      <t xml:space="preserve">1.</t>
    </r>
    <r>
      <rPr>
        <sz val="10"/>
        <color rgb="FF000000"/>
        <rFont val="WenQuanYi Zen Hei"/>
        <family val="2"/>
      </rPr>
      <t xml:space="preserve">보통주자본금</t>
    </r>
  </si>
  <si>
    <t xml:space="preserve">  주식발행초과금</t>
  </si>
  <si>
    <r>
      <rPr>
        <sz val="10"/>
        <color rgb="FF000000"/>
        <rFont val="Arial"/>
        <family val="0"/>
        <charset val="1"/>
      </rPr>
      <t xml:space="preserve">Ⅱ.</t>
    </r>
    <r>
      <rPr>
        <sz val="10"/>
        <color rgb="FF000000"/>
        <rFont val="WenQuanYi Zen Hei"/>
        <family val="2"/>
      </rPr>
      <t xml:space="preserve">자본잉여금</t>
    </r>
  </si>
  <si>
    <r>
      <rPr>
        <sz val="10"/>
        <rFont val="WenQuanYi Zen Hei"/>
        <family val="2"/>
      </rPr>
      <t xml:space="preserve">  이익잉여금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결손금</t>
    </r>
    <r>
      <rPr>
        <sz val="1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</si>
  <si>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5.</t>
    </r>
    <r>
      <rPr>
        <sz val="10"/>
        <color rgb="FF000000"/>
        <rFont val="WenQuanYi Zen Hei"/>
        <family val="2"/>
      </rPr>
      <t xml:space="preserve">미처분이익잉여금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미처리결손금</t>
    </r>
    <r>
      <rPr>
        <sz val="10"/>
        <color rgb="FF000000"/>
        <rFont val="Arial"/>
        <family val="0"/>
        <charset val="1"/>
      </rPr>
      <t xml:space="preserve">)</t>
    </r>
  </si>
  <si>
    <t xml:space="preserve">부채와자본총계</t>
  </si>
  <si>
    <t xml:space="preserve">부채와 자본총계</t>
  </si>
  <si>
    <r>
      <rPr>
        <sz val="10"/>
        <rFont val="WenQuanYi Zen Hei"/>
        <family val="2"/>
      </rPr>
      <t xml:space="preserve">검증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자산총계 </t>
    </r>
    <r>
      <rPr>
        <sz val="10"/>
        <rFont val="Arial"/>
        <family val="0"/>
        <charset val="1"/>
      </rPr>
      <t xml:space="preserve">- </t>
    </r>
    <r>
      <rPr>
        <sz val="10"/>
        <rFont val="WenQuanYi Zen Hei"/>
        <family val="2"/>
      </rPr>
      <t xml:space="preserve">부채와자본총계 </t>
    </r>
    <r>
      <rPr>
        <sz val="10"/>
        <rFont val="Arial"/>
        <family val="0"/>
        <charset val="1"/>
      </rPr>
      <t xml:space="preserve">(0</t>
    </r>
    <r>
      <rPr>
        <sz val="10"/>
        <rFont val="WenQuanYi Zen Hei"/>
        <family val="2"/>
      </rPr>
      <t xml:space="preserve">이어야 정상</t>
    </r>
    <r>
      <rPr>
        <sz val="10"/>
        <rFont val="Arial"/>
        <family val="0"/>
        <charset val="1"/>
      </rPr>
      <t xml:space="preserve">)</t>
    </r>
  </si>
  <si>
    <r>
      <rPr>
        <b val="true"/>
        <sz val="13"/>
        <rFont val="Arial"/>
        <family val="0"/>
        <charset val="1"/>
      </rPr>
      <t xml:space="preserve">KPI · </t>
    </r>
    <r>
      <rPr>
        <b val="true"/>
        <sz val="13"/>
        <rFont val="WenQuanYi Zen Hei"/>
        <family val="2"/>
      </rPr>
      <t xml:space="preserve">운영지표 </t>
    </r>
    <r>
      <rPr>
        <b val="true"/>
        <sz val="13"/>
        <rFont val="Arial"/>
        <family val="0"/>
        <charset val="1"/>
      </rPr>
      <t xml:space="preserve">(</t>
    </r>
    <r>
      <rPr>
        <b val="true"/>
        <sz val="13"/>
        <rFont val="WenQuanYi Zen Hei"/>
        <family val="2"/>
      </rPr>
      <t xml:space="preserve">추가 검토 데이터</t>
    </r>
    <r>
      <rPr>
        <b val="true"/>
        <sz val="13"/>
        <rFont val="Arial"/>
        <family val="0"/>
        <charset val="1"/>
      </rPr>
      <t xml:space="preserve">)</t>
    </r>
  </si>
  <si>
    <r>
      <rPr>
        <i val="true"/>
        <sz val="9"/>
        <color rgb="FF595959"/>
        <rFont val="WenQuanYi Zen Hei"/>
        <family val="2"/>
      </rPr>
      <t xml:space="preserve">※ 재무제표만으로는 보이지 않는 사업 드라이버</t>
    </r>
    <r>
      <rPr>
        <i val="true"/>
        <sz val="9"/>
        <color rgb="FF595959"/>
        <rFont val="Arial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파란색</t>
    </r>
    <r>
      <rPr>
        <i val="true"/>
        <sz val="9"/>
        <color rgb="FF595959"/>
        <rFont val="Arial"/>
        <family val="0"/>
        <charset val="1"/>
      </rPr>
      <t xml:space="preserve">=</t>
    </r>
    <r>
      <rPr>
        <i val="true"/>
        <sz val="9"/>
        <color rgb="FF595959"/>
        <rFont val="WenQuanYi Zen Hei"/>
        <family val="2"/>
      </rPr>
      <t xml:space="preserve">운영 데이터 입력값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실무에서는 결제</t>
    </r>
    <r>
      <rPr>
        <i val="true"/>
        <sz val="9"/>
        <color rgb="FF595959"/>
        <rFont val="Arial"/>
        <family val="0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회원 </t>
    </r>
    <r>
      <rPr>
        <i val="true"/>
        <sz val="9"/>
        <color rgb="FF595959"/>
        <rFont val="Arial"/>
        <family val="0"/>
        <charset val="1"/>
      </rPr>
      <t xml:space="preserve">DB, PG </t>
    </r>
    <r>
      <rPr>
        <i val="true"/>
        <sz val="9"/>
        <color rgb="FF595959"/>
        <rFont val="WenQuanYi Zen Hei"/>
        <family val="2"/>
      </rPr>
      <t xml:space="preserve">정산내역</t>
    </r>
    <r>
      <rPr>
        <i val="true"/>
        <sz val="9"/>
        <color rgb="FF595959"/>
        <rFont val="Arial"/>
        <family val="0"/>
        <charset val="1"/>
      </rPr>
      <t xml:space="preserve">, </t>
    </r>
    <r>
      <rPr>
        <i val="true"/>
        <sz val="9"/>
        <color rgb="FF595959"/>
        <rFont val="WenQuanYi Zen Hei"/>
        <family val="2"/>
      </rPr>
      <t xml:space="preserve">마켓 정산내역에서 추출</t>
    </r>
    <r>
      <rPr>
        <i val="true"/>
        <sz val="9"/>
        <color rgb="FF595959"/>
        <rFont val="Arial"/>
        <family val="0"/>
        <charset val="1"/>
      </rPr>
      <t xml:space="preserve">), </t>
    </r>
    <r>
      <rPr>
        <i val="true"/>
        <sz val="9"/>
        <color rgb="FF595959"/>
        <rFont val="WenQuanYi Zen Hei"/>
        <family val="2"/>
      </rPr>
      <t xml:space="preserve">검정</t>
    </r>
    <r>
      <rPr>
        <i val="true"/>
        <sz val="9"/>
        <color rgb="FF595959"/>
        <rFont val="Arial"/>
        <family val="0"/>
        <charset val="1"/>
      </rPr>
      <t xml:space="preserve">/</t>
    </r>
    <r>
      <rPr>
        <i val="true"/>
        <sz val="9"/>
        <color rgb="FF595959"/>
        <rFont val="WenQuanYi Zen Hei"/>
        <family val="2"/>
      </rPr>
      <t xml:space="preserve">초록</t>
    </r>
    <r>
      <rPr>
        <i val="true"/>
        <sz val="9"/>
        <color rgb="FF595959"/>
        <rFont val="Arial"/>
        <family val="0"/>
        <charset val="1"/>
      </rPr>
      <t xml:space="preserve">=</t>
    </r>
    <r>
      <rPr>
        <i val="true"/>
        <sz val="9"/>
        <color rgb="FF595959"/>
        <rFont val="WenQuanYi Zen Hei"/>
        <family val="2"/>
      </rPr>
      <t xml:space="preserve">다른 시트와 연결된 산식</t>
    </r>
    <r>
      <rPr>
        <i val="true"/>
        <sz val="9"/>
        <color rgb="FF595959"/>
        <rFont val="Arial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연간 열</t>
    </r>
    <r>
      <rPr>
        <i val="true"/>
        <sz val="9"/>
        <color rgb="FF595959"/>
        <rFont val="Arial"/>
        <family val="0"/>
        <charset val="1"/>
      </rPr>
      <t xml:space="preserve">: </t>
    </r>
    <r>
      <rPr>
        <i val="true"/>
        <sz val="9"/>
        <color rgb="FF595959"/>
        <rFont val="WenQuanYi Zen Hei"/>
        <family val="2"/>
      </rPr>
      <t xml:space="preserve">인원</t>
    </r>
    <r>
      <rPr>
        <i val="true"/>
        <sz val="9"/>
        <color rgb="FF595959"/>
        <rFont val="Arial"/>
        <family val="0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구독자 등 잔량은 연말값</t>
    </r>
    <r>
      <rPr>
        <i val="true"/>
        <sz val="9"/>
        <color rgb="FF595959"/>
        <rFont val="Arial"/>
        <family val="0"/>
        <charset val="1"/>
      </rPr>
      <t xml:space="preserve">, </t>
    </r>
    <r>
      <rPr>
        <i val="true"/>
        <sz val="9"/>
        <color rgb="FF595959"/>
        <rFont val="WenQuanYi Zen Hei"/>
        <family val="2"/>
      </rPr>
      <t xml:space="preserve">금액은 합계</t>
    </r>
    <r>
      <rPr>
        <i val="true"/>
        <sz val="9"/>
        <color rgb="FF595959"/>
        <rFont val="Arial"/>
        <family val="0"/>
        <charset val="1"/>
      </rPr>
      <t xml:space="preserve">, </t>
    </r>
    <r>
      <rPr>
        <i val="true"/>
        <sz val="9"/>
        <color rgb="FF595959"/>
        <rFont val="WenQuanYi Zen Hei"/>
        <family val="2"/>
      </rPr>
      <t xml:space="preserve">비율은 연간 기준 재계산</t>
    </r>
    <r>
      <rPr>
        <i val="true"/>
        <sz val="9"/>
        <color rgb="FF595959"/>
        <rFont val="Arial"/>
        <family val="0"/>
        <charset val="1"/>
      </rPr>
      <t xml:space="preserve">.</t>
    </r>
  </si>
  <si>
    <t xml:space="preserve">구분</t>
  </si>
  <si>
    <t xml:space="preserve">지표</t>
  </si>
  <si>
    <t xml:space="preserve">단위</t>
  </si>
  <si>
    <r>
      <rPr>
        <b val="true"/>
        <sz val="10"/>
        <color rgb="FFFFFFFF"/>
        <rFont val="WenQuanYi Zen Hei"/>
        <family val="2"/>
      </rPr>
      <t xml:space="preserve">정의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WenQuanYi Zen Hei"/>
        <family val="2"/>
      </rPr>
      <t xml:space="preserve">데이터 출처</t>
    </r>
  </si>
  <si>
    <r>
      <rPr>
        <b val="true"/>
        <sz val="10"/>
        <color rgb="FFFFFFFF"/>
        <rFont val="WenQuanYi Zen Hei"/>
        <family val="2"/>
      </rPr>
      <t xml:space="preserve">왜 필요한가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요약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</si>
  <si>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인력</t>
  </si>
  <si>
    <t xml:space="preserve">개발조직 인원</t>
  </si>
  <si>
    <t xml:space="preserve">명</t>
  </si>
  <si>
    <t xml:space="preserve">인사기록</t>
  </si>
  <si>
    <t xml:space="preserve">인건비가 판관비의 최대 비중 → 인원 계획이 손익을 좌우</t>
  </si>
  <si>
    <r>
      <rPr>
        <sz val="10"/>
        <color rgb="FF000000"/>
        <rFont val="WenQuanYi Zen Hei"/>
        <family val="2"/>
      </rPr>
      <t xml:space="preserve">사업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마케팅조직 인원</t>
    </r>
  </si>
  <si>
    <r>
      <rPr>
        <sz val="10"/>
        <color rgb="FF000000"/>
        <rFont val="WenQuanYi Zen Hei"/>
        <family val="2"/>
      </rPr>
      <t xml:space="preserve">경영지원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운영조직 인원</t>
    </r>
  </si>
  <si>
    <r>
      <rPr>
        <sz val="10"/>
        <color rgb="FF000000"/>
        <rFont val="WenQuanYi Zen Hei"/>
        <family val="2"/>
      </rPr>
      <t xml:space="preserve">인사기록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대표 급여 </t>
    </r>
    <r>
      <rPr>
        <sz val="10"/>
        <color rgb="FF000000"/>
        <rFont val="Arial"/>
        <family val="0"/>
        <charset val="1"/>
      </rPr>
      <t xml:space="preserve">2026-07~)</t>
    </r>
  </si>
  <si>
    <t xml:space="preserve">총 인원</t>
  </si>
  <si>
    <r>
      <rPr>
        <sz val="10"/>
        <color rgb="FF000000"/>
        <rFont val="WenQuanYi Zen Hei"/>
        <family val="2"/>
      </rPr>
      <t xml:space="preserve">인당 월 인건비</t>
    </r>
    <r>
      <rPr>
        <sz val="10"/>
        <color rgb="FF000000"/>
        <rFont val="Arial"/>
        <family val="0"/>
        <charset val="1"/>
      </rPr>
      <t xml:space="preserve">(Labor Costs/</t>
    </r>
    <r>
      <rPr>
        <sz val="10"/>
        <color rgb="FF000000"/>
        <rFont val="WenQuanYi Zen Hei"/>
        <family val="2"/>
      </rPr>
      <t xml:space="preserve">인원</t>
    </r>
    <r>
      <rPr>
        <sz val="10"/>
        <color rgb="FF000000"/>
        <rFont val="Arial"/>
        <family val="0"/>
        <charset val="1"/>
      </rPr>
      <t xml:space="preserve">)</t>
    </r>
  </si>
  <si>
    <t xml:space="preserve">원</t>
  </si>
  <si>
    <t xml:space="preserve">[a] SaaS</t>
  </si>
  <si>
    <r>
      <rPr>
        <sz val="10"/>
        <color rgb="FF000000"/>
        <rFont val="WenQuanYi Zen Hei"/>
        <family val="2"/>
      </rPr>
      <t xml:space="preserve">개인 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WenQuanYi Zen Hei"/>
        <family val="2"/>
      </rPr>
      <t xml:space="preserve">월간 활성 구독자</t>
    </r>
  </si>
  <si>
    <r>
      <rPr>
        <sz val="10"/>
        <color rgb="FF000000"/>
        <rFont val="WenQuanYi Zen Hei"/>
        <family val="2"/>
      </rPr>
      <t xml:space="preserve">결제 </t>
    </r>
    <r>
      <rPr>
        <sz val="10"/>
        <color rgb="FF000000"/>
        <rFont val="Arial"/>
        <family val="0"/>
        <charset val="1"/>
      </rPr>
      <t xml:space="preserve">DB(</t>
    </r>
    <r>
      <rPr>
        <sz val="10"/>
        <color rgb="FF000000"/>
        <rFont val="WenQuanYi Zen Hei"/>
        <family val="2"/>
      </rPr>
      <t xml:space="preserve">월말 활성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</si>
  <si>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플랜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결제주기별 구독자 수가 매출의 원천 드라이버</t>
    </r>
  </si>
  <si>
    <r>
      <rPr>
        <sz val="10"/>
        <color rgb="FF000000"/>
        <rFont val="WenQuanYi Zen Hei"/>
        <family val="2"/>
      </rPr>
      <t xml:space="preserve">개인 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WenQuanYi Zen Hei"/>
        <family val="2"/>
      </rPr>
      <t xml:space="preserve">월간 활성 구독자</t>
    </r>
  </si>
  <si>
    <r>
      <rPr>
        <sz val="10"/>
        <color rgb="FF000000"/>
        <rFont val="WenQuanYi Zen Hei"/>
        <family val="2"/>
      </rPr>
      <t xml:space="preserve">결제 </t>
    </r>
    <r>
      <rPr>
        <sz val="10"/>
        <color rgb="FF000000"/>
        <rFont val="Arial"/>
        <family val="0"/>
        <charset val="1"/>
      </rPr>
      <t xml:space="preserve">DB</t>
    </r>
  </si>
  <si>
    <r>
      <rPr>
        <sz val="10"/>
        <color rgb="FF000000"/>
        <rFont val="WenQuanYi Zen Hei"/>
        <family val="2"/>
      </rPr>
      <t xml:space="preserve">개인 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WenQuanYi Zen Hei"/>
        <family val="2"/>
      </rPr>
      <t xml:space="preserve">연간 유효 계약</t>
    </r>
  </si>
  <si>
    <r>
      <rPr>
        <sz val="10"/>
        <color rgb="FF000000"/>
        <rFont val="WenQuanYi Zen Hei"/>
        <family val="2"/>
      </rPr>
      <t xml:space="preserve">개인 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WenQuanYi Zen Hei"/>
        <family val="2"/>
      </rPr>
      <t xml:space="preserve">연간 유효 계약</t>
    </r>
  </si>
  <si>
    <t xml:space="preserve">개인 유료 구독자 합계</t>
  </si>
  <si>
    <t xml:space="preserve">개인 신규 유료 구독자</t>
  </si>
  <si>
    <r>
      <rPr>
        <sz val="10"/>
        <color rgb="FF000000"/>
        <rFont val="WenQuanYi Zen Hei"/>
        <family val="2"/>
      </rPr>
      <t xml:space="preserve">결제 </t>
    </r>
    <r>
      <rPr>
        <sz val="10"/>
        <color rgb="FF000000"/>
        <rFont val="Arial"/>
        <family val="0"/>
        <charset val="1"/>
      </rPr>
      <t xml:space="preserve">DB(</t>
    </r>
    <r>
      <rPr>
        <sz val="10"/>
        <color rgb="FF000000"/>
        <rFont val="WenQuanYi Zen Hei"/>
        <family val="2"/>
      </rPr>
      <t xml:space="preserve">신규 결제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</si>
  <si>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CAC </t>
    </r>
    <r>
      <rPr>
        <sz val="10"/>
        <color rgb="FF000000"/>
        <rFont val="WenQuanYi Zen Hei"/>
        <family val="2"/>
      </rPr>
      <t xml:space="preserve">계산 분모</t>
    </r>
  </si>
  <si>
    <t xml:space="preserve">월간 플랜 해지 구독자</t>
  </si>
  <si>
    <r>
      <rPr>
        <sz val="10"/>
        <color rgb="FF000000"/>
        <rFont val="WenQuanYi Zen Hei"/>
        <family val="2"/>
      </rPr>
      <t xml:space="preserve">결제 </t>
    </r>
    <r>
      <rPr>
        <sz val="10"/>
        <color rgb="FF000000"/>
        <rFont val="Arial"/>
        <family val="0"/>
        <charset val="1"/>
      </rPr>
      <t xml:space="preserve">DB(</t>
    </r>
    <r>
      <rPr>
        <sz val="10"/>
        <color rgb="FF000000"/>
        <rFont val="WenQuanYi Zen Hei"/>
        <family val="2"/>
      </rPr>
      <t xml:space="preserve">해지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갱신실패</t>
    </r>
    <r>
      <rPr>
        <sz val="10"/>
        <color rgb="FF000000"/>
        <rFont val="Arial"/>
        <family val="0"/>
        <charset val="1"/>
      </rPr>
      <t xml:space="preserve">)</t>
    </r>
  </si>
  <si>
    <t xml:space="preserve">취업 성공 시 해지되는 구조라 해지율이 높고 계절성이 큼</t>
  </si>
  <si>
    <t xml:space="preserve">월간 플랜 해지율</t>
  </si>
  <si>
    <t xml:space="preserve">%</t>
  </si>
  <si>
    <r>
      <rPr>
        <sz val="10"/>
        <color rgb="FF000000"/>
        <rFont val="WenQuanYi Zen Hei"/>
        <family val="2"/>
      </rPr>
      <t xml:space="preserve">법인 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WenQuanYi Zen Hei"/>
        <family val="2"/>
      </rPr>
      <t xml:space="preserve">연간 좌석</t>
    </r>
  </si>
  <si>
    <t xml:space="preserve">석</t>
  </si>
  <si>
    <t xml:space="preserve">법인 계약서</t>
  </si>
  <si>
    <r>
      <rPr>
        <sz val="10"/>
        <color rgb="FF000000"/>
        <rFont val="WenQuanYi Zen Hei"/>
        <family val="2"/>
      </rPr>
      <t xml:space="preserve">대학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기관 계약은 금액이 크고 회수기간이 길어 매출채권 관리 필요</t>
    </r>
  </si>
  <si>
    <r>
      <rPr>
        <sz val="10"/>
        <color rgb="FF000000"/>
        <rFont val="WenQuanYi Zen Hei"/>
        <family val="2"/>
      </rPr>
      <t xml:space="preserve">법인 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WenQuanYi Zen Hei"/>
        <family val="2"/>
      </rPr>
      <t xml:space="preserve">연간 좌석</t>
    </r>
  </si>
  <si>
    <r>
      <rPr>
        <sz val="10"/>
        <color rgb="FF000000"/>
        <rFont val="WenQuanYi Zen Hei"/>
        <family val="2"/>
      </rPr>
      <t xml:space="preserve">법인 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WenQuanYi Zen Hei"/>
        <family val="2"/>
      </rPr>
      <t xml:space="preserve">월간 좌석</t>
    </r>
  </si>
  <si>
    <t xml:space="preserve">세금계산서 발행내역</t>
  </si>
  <si>
    <r>
      <rPr>
        <sz val="10"/>
        <color rgb="FF000000"/>
        <rFont val="WenQuanYi Zen Hei"/>
        <family val="2"/>
      </rPr>
      <t xml:space="preserve">법인 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WenQuanYi Zen Hei"/>
        <family val="2"/>
      </rPr>
      <t xml:space="preserve">월간 좌석</t>
    </r>
  </si>
  <si>
    <r>
      <rPr>
        <sz val="10"/>
        <color rgb="FF000000"/>
        <rFont val="WenQuanYi Zen Hei"/>
        <family val="2"/>
      </rPr>
      <t xml:space="preserve">무료 이용자 </t>
    </r>
    <r>
      <rPr>
        <sz val="10"/>
        <color rgb="FF000000"/>
        <rFont val="Arial"/>
        <family val="0"/>
        <charset val="1"/>
      </rPr>
      <t xml:space="preserve">MAU</t>
    </r>
  </si>
  <si>
    <t xml:space="preserve">서비스 로그</t>
  </si>
  <si>
    <r>
      <rPr>
        <sz val="10"/>
        <color rgb="FF000000"/>
        <rFont val="WenQuanYi Zen Hei"/>
        <family val="2"/>
      </rPr>
      <t xml:space="preserve">무료 이용자도 </t>
    </r>
    <r>
      <rPr>
        <sz val="10"/>
        <color rgb="FF000000"/>
        <rFont val="Arial"/>
        <family val="0"/>
        <charset val="1"/>
      </rPr>
      <t xml:space="preserve">LLM </t>
    </r>
    <r>
      <rPr>
        <sz val="10"/>
        <color rgb="FF000000"/>
        <rFont val="WenQuanYi Zen Hei"/>
        <family val="2"/>
      </rPr>
      <t xml:space="preserve">토큰비를 발생시키는 원가 드라이버</t>
    </r>
  </si>
  <si>
    <r>
      <rPr>
        <sz val="10"/>
        <color rgb="FF000000"/>
        <rFont val="Arial"/>
        <family val="0"/>
        <charset val="1"/>
      </rPr>
      <t xml:space="preserve">MRR(</t>
    </r>
    <r>
      <rPr>
        <sz val="10"/>
        <color rgb="FF000000"/>
        <rFont val="WenQuanYi Zen Hei"/>
        <family val="2"/>
      </rPr>
      <t xml:space="preserve">구독 매출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크레딧 제외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</si>
  <si>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반복매출 규모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투자자 핵심 지표</t>
    </r>
    <r>
      <rPr>
        <sz val="10"/>
        <color rgb="FF000000"/>
        <rFont val="Arial"/>
        <family val="0"/>
        <charset val="1"/>
      </rPr>
      <t xml:space="preserve">)</t>
    </r>
  </si>
  <si>
    <t xml:space="preserve">ARR(MRR×12)</t>
  </si>
  <si>
    <r>
      <rPr>
        <sz val="10"/>
        <color rgb="FF000000"/>
        <rFont val="WenQuanYi Zen Hei"/>
        <family val="2"/>
      </rPr>
      <t xml:space="preserve">개인 </t>
    </r>
    <r>
      <rPr>
        <sz val="10"/>
        <color rgb="FF000000"/>
        <rFont val="Arial"/>
        <family val="0"/>
        <charset val="1"/>
      </rPr>
      <t xml:space="preserve">ARPPU(</t>
    </r>
    <r>
      <rPr>
        <sz val="10"/>
        <color rgb="FF000000"/>
        <rFont val="WenQuanYi Zen Hei"/>
        <family val="2"/>
      </rPr>
      <t xml:space="preserve">개인 구독매출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개인 유료구독자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</si>
  <si>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연간구독 결제액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개인</t>
    </r>
    <r>
      <rPr>
        <sz val="10"/>
        <color rgb="FF000000"/>
        <rFont val="Arial"/>
        <family val="0"/>
        <charset val="1"/>
      </rPr>
      <t xml:space="preserve">, VAT </t>
    </r>
    <r>
      <rPr>
        <sz val="10"/>
        <color rgb="FF000000"/>
        <rFont val="WenQuanYi Zen Hei"/>
        <family val="2"/>
      </rPr>
      <t xml:space="preserve">별도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</si>
  <si>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PG </t>
    </r>
    <r>
      <rPr>
        <sz val="10"/>
        <color rgb="FF000000"/>
        <rFont val="WenQuanYi Zen Hei"/>
        <family val="2"/>
      </rPr>
      <t xml:space="preserve">결제내역</t>
    </r>
  </si>
  <si>
    <t xml:space="preserve">현금 유입과 매출 인식 시점이 달라 선수수익 발생</t>
  </si>
  <si>
    <r>
      <rPr>
        <sz val="10"/>
        <color rgb="FF000000"/>
        <rFont val="WenQuanYi Zen Hei"/>
        <family val="2"/>
      </rPr>
      <t xml:space="preserve">법인 연간계약 청구액</t>
    </r>
    <r>
      <rPr>
        <sz val="10"/>
        <color rgb="FF000000"/>
        <rFont val="Arial"/>
        <family val="0"/>
        <charset val="1"/>
      </rPr>
      <t xml:space="preserve">(VAT </t>
    </r>
    <r>
      <rPr>
        <sz val="10"/>
        <color rgb="FF000000"/>
        <rFont val="WenQuanYi Zen Hei"/>
        <family val="2"/>
      </rPr>
      <t xml:space="preserve">별도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</si>
  <si>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크레딧 결제액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개인</t>
    </r>
    <r>
      <rPr>
        <sz val="10"/>
        <color rgb="FF000000"/>
        <rFont val="Arial"/>
        <family val="0"/>
        <charset val="1"/>
      </rPr>
      <t xml:space="preserve">+</t>
    </r>
    <r>
      <rPr>
        <sz val="10"/>
        <color rgb="FF000000"/>
        <rFont val="WenQuanYi Zen Hei"/>
        <family val="2"/>
      </rPr>
      <t xml:space="preserve">법인</t>
    </r>
    <r>
      <rPr>
        <sz val="10"/>
        <color rgb="FF000000"/>
        <rFont val="Arial"/>
        <family val="0"/>
        <charset val="1"/>
      </rPr>
      <t xml:space="preserve">, VAT </t>
    </r>
    <r>
      <rPr>
        <sz val="10"/>
        <color rgb="FF000000"/>
        <rFont val="WenQuanYi Zen Hei"/>
        <family val="2"/>
      </rPr>
      <t xml:space="preserve">별도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</si>
  <si>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미사용 크레딧 </t>
    </r>
    <r>
      <rPr>
        <sz val="10"/>
        <color rgb="FF000000"/>
        <rFont val="Arial"/>
        <family val="0"/>
        <charset val="1"/>
      </rPr>
      <t xml:space="preserve">= </t>
    </r>
    <r>
      <rPr>
        <sz val="10"/>
        <color rgb="FF000000"/>
        <rFont val="WenQuanYi Zen Hei"/>
        <family val="2"/>
      </rPr>
      <t xml:space="preserve">부채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선수수익</t>
    </r>
    <r>
      <rPr>
        <sz val="10"/>
        <color rgb="FF000000"/>
        <rFont val="Arial"/>
        <family val="0"/>
        <charset val="1"/>
      </rPr>
      <t xml:space="preserve">), </t>
    </r>
    <r>
      <rPr>
        <sz val="10"/>
        <color rgb="FF000000"/>
        <rFont val="WenQuanYi Zen Hei"/>
        <family val="2"/>
      </rPr>
      <t xml:space="preserve">소멸 정책이 매출에 영향</t>
    </r>
  </si>
  <si>
    <t xml:space="preserve">크레딧 매출 인식액</t>
  </si>
  <si>
    <r>
      <rPr>
        <sz val="10"/>
        <color rgb="FF000000"/>
        <rFont val="Arial"/>
        <family val="0"/>
        <charset val="1"/>
      </rPr>
      <t xml:space="preserve">LLM </t>
    </r>
    <r>
      <rPr>
        <sz val="10"/>
        <color rgb="FF000000"/>
        <rFont val="WenQuanYi Zen Hei"/>
        <family val="2"/>
      </rPr>
      <t xml:space="preserve">토큰비용률</t>
    </r>
    <r>
      <rPr>
        <sz val="10"/>
        <color rgb="FF000000"/>
        <rFont val="Arial"/>
        <family val="0"/>
        <charset val="1"/>
      </rPr>
      <t xml:space="preserve">(LLM</t>
    </r>
    <r>
      <rPr>
        <sz val="10"/>
        <color rgb="FF000000"/>
        <rFont val="WenQuanYi Zen Hei"/>
        <family val="2"/>
      </rPr>
      <t xml:space="preserve">비</t>
    </r>
    <r>
      <rPr>
        <sz val="10"/>
        <color rgb="FF000000"/>
        <rFont val="Arial"/>
        <family val="0"/>
        <charset val="1"/>
      </rPr>
      <t xml:space="preserve">/[a]</t>
    </r>
    <r>
      <rPr>
        <sz val="10"/>
        <color rgb="FF000000"/>
        <rFont val="WenQuanYi Zen Hei"/>
        <family val="2"/>
      </rPr>
      <t xml:space="preserve">매출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</si>
  <si>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AI SaaS </t>
    </r>
    <r>
      <rPr>
        <sz val="10"/>
        <color rgb="FF000000"/>
        <rFont val="WenQuanYi Zen Hei"/>
        <family val="2"/>
      </rPr>
      <t xml:space="preserve">매출총이익률을 결정하는 핵심 원가</t>
    </r>
  </si>
  <si>
    <r>
      <rPr>
        <sz val="10"/>
        <color rgb="FF000000"/>
        <rFont val="Arial"/>
        <family val="0"/>
        <charset val="1"/>
      </rPr>
      <t xml:space="preserve">CAC(</t>
    </r>
    <r>
      <rPr>
        <sz val="10"/>
        <color rgb="FF000000"/>
        <rFont val="WenQuanYi Zen Hei"/>
        <family val="2"/>
      </rPr>
      <t xml:space="preserve">광고비</t>
    </r>
    <r>
      <rPr>
        <sz val="10"/>
        <color rgb="FF000000"/>
        <rFont val="Arial"/>
        <family val="0"/>
        <charset val="1"/>
      </rPr>
      <t xml:space="preserve">[a]/</t>
    </r>
    <r>
      <rPr>
        <sz val="10"/>
        <color rgb="FF000000"/>
        <rFont val="WenQuanYi Zen Hei"/>
        <family val="2"/>
      </rPr>
      <t xml:space="preserve">개인 신규 유료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</si>
  <si>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광고선전비 효율</t>
    </r>
    <r>
      <rPr>
        <sz val="10"/>
        <color rgb="FF000000"/>
        <rFont val="Arial"/>
        <family val="0"/>
        <charset val="1"/>
      </rPr>
      <t xml:space="preserve">, LTV/CAC </t>
    </r>
    <r>
      <rPr>
        <sz val="10"/>
        <color rgb="FF000000"/>
        <rFont val="WenQuanYi Zen Hei"/>
        <family val="2"/>
      </rPr>
      <t xml:space="preserve">계산 기초</t>
    </r>
  </si>
  <si>
    <r>
      <rPr>
        <sz val="10"/>
        <color rgb="FF000000"/>
        <rFont val="WenQuanYi Zen Hei"/>
        <family val="2"/>
      </rPr>
      <t xml:space="preserve">반복매출 비중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성격</t>
    </r>
    <r>
      <rPr>
        <sz val="10"/>
        <color rgb="FF000000"/>
        <rFont val="Arial"/>
        <family val="0"/>
        <charset val="1"/>
      </rPr>
      <t xml:space="preserve">='</t>
    </r>
    <r>
      <rPr>
        <sz val="10"/>
        <color rgb="FF000000"/>
        <rFont val="WenQuanYi Zen Hei"/>
        <family val="2"/>
      </rPr>
      <t xml:space="preserve">반복</t>
    </r>
    <r>
      <rPr>
        <sz val="10"/>
        <color rgb="FF000000"/>
        <rFont val="Arial"/>
        <family val="0"/>
        <charset val="1"/>
      </rPr>
      <t xml:space="preserve">*')</t>
    </r>
  </si>
  <si>
    <r>
      <rPr>
        <sz val="10"/>
        <color rgb="FF000000"/>
        <rFont val="Arial"/>
        <family val="0"/>
        <charset val="1"/>
      </rPr>
      <t xml:space="preserve">[b] </t>
    </r>
    <r>
      <rPr>
        <sz val="10"/>
        <color rgb="FF000000"/>
        <rFont val="WenQuanYi Zen Hei"/>
        <family val="2"/>
      </rPr>
      <t xml:space="preserve">마켓</t>
    </r>
  </si>
  <si>
    <r>
      <rPr>
        <sz val="10"/>
        <color rgb="FF000000"/>
        <rFont val="WenQuanYi Zen Hei"/>
        <family val="2"/>
      </rPr>
      <t xml:space="preserve">전자책 </t>
    </r>
    <r>
      <rPr>
        <sz val="10"/>
        <color rgb="FF000000"/>
        <rFont val="Arial"/>
        <family val="0"/>
        <charset val="1"/>
      </rPr>
      <t xml:space="preserve">GMV(</t>
    </r>
    <r>
      <rPr>
        <sz val="10"/>
        <color rgb="FF000000"/>
        <rFont val="WenQuanYi Zen Hei"/>
        <family val="2"/>
      </rPr>
      <t xml:space="preserve">거래액</t>
    </r>
    <r>
      <rPr>
        <sz val="10"/>
        <color rgb="FF000000"/>
        <rFont val="Arial"/>
        <family val="0"/>
        <charset val="1"/>
      </rPr>
      <t xml:space="preserve">, VAT </t>
    </r>
    <r>
      <rPr>
        <sz val="10"/>
        <color rgb="FF000000"/>
        <rFont val="WenQuanYi Zen Hei"/>
        <family val="2"/>
      </rPr>
      <t xml:space="preserve">포함 판매가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</si>
  <si>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마켓 주문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정산 </t>
    </r>
    <r>
      <rPr>
        <sz val="10"/>
        <color rgb="FF000000"/>
        <rFont val="Arial"/>
        <family val="0"/>
        <charset val="1"/>
      </rPr>
      <t xml:space="preserve">DB</t>
    </r>
  </si>
  <si>
    <r>
      <rPr>
        <sz val="10"/>
        <color rgb="FF000000"/>
        <rFont val="WenQuanYi Zen Hei"/>
        <family val="2"/>
      </rPr>
      <t xml:space="preserve">순액 매출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수수료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만으로는 거래 규모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정산 부채를 알 수 없음</t>
    </r>
  </si>
  <si>
    <r>
      <rPr>
        <sz val="10"/>
        <color rgb="FF000000"/>
        <rFont val="WenQuanYi Zen Hei"/>
        <family val="2"/>
      </rPr>
      <t xml:space="preserve">강의 </t>
    </r>
    <r>
      <rPr>
        <sz val="10"/>
        <color rgb="FF000000"/>
        <rFont val="Arial"/>
        <family val="0"/>
        <charset val="1"/>
      </rPr>
      <t xml:space="preserve">GMV</t>
    </r>
  </si>
  <si>
    <r>
      <rPr>
        <sz val="10"/>
        <rFont val="Arial"/>
        <family val="0"/>
        <charset val="1"/>
      </rPr>
      <t xml:space="preserve">[b] </t>
    </r>
    <r>
      <rPr>
        <sz val="10"/>
        <rFont val="WenQuanYi Zen Hei"/>
        <family val="2"/>
      </rPr>
      <t xml:space="preserve">마켓</t>
    </r>
  </si>
  <si>
    <r>
      <rPr>
        <sz val="10"/>
        <color rgb="FF000000"/>
        <rFont val="Arial"/>
        <family val="0"/>
        <charset val="1"/>
      </rPr>
      <t xml:space="preserve">GMV </t>
    </r>
    <r>
      <rPr>
        <sz val="10"/>
        <color rgb="FF000000"/>
        <rFont val="WenQuanYi Zen Hei"/>
        <family val="2"/>
      </rPr>
      <t xml:space="preserve">합계</t>
    </r>
  </si>
  <si>
    <r>
      <rPr>
        <sz val="10"/>
        <color rgb="FF000000"/>
        <rFont val="WenQuanYi Zen Hei"/>
        <family val="2"/>
      </rPr>
      <t xml:space="preserve">실효 수수료율</t>
    </r>
    <r>
      <rPr>
        <sz val="10"/>
        <color rgb="FF000000"/>
        <rFont val="Arial"/>
        <family val="0"/>
        <charset val="1"/>
      </rPr>
      <t xml:space="preserve">(Take rate)</t>
    </r>
  </si>
  <si>
    <r>
      <rPr>
        <sz val="10"/>
        <color rgb="FF000000"/>
        <rFont val="WenQuanYi Zen Hei"/>
        <family val="2"/>
      </rPr>
      <t xml:space="preserve">판매자 정산액</t>
    </r>
    <r>
      <rPr>
        <sz val="10"/>
        <color rgb="FF000000"/>
        <rFont val="Arial"/>
        <family val="0"/>
        <charset val="1"/>
      </rPr>
      <t xml:space="preserve">(GMV-</t>
    </r>
    <r>
      <rPr>
        <sz val="10"/>
        <color rgb="FF000000"/>
        <rFont val="WenQuanYi Zen Hei"/>
        <family val="2"/>
      </rPr>
      <t xml:space="preserve">수수료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</si>
  <si>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셀러 정산 예수금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원천징수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개인셀러 </t>
    </r>
    <r>
      <rPr>
        <sz val="10"/>
        <color rgb="FF000000"/>
        <rFont val="Arial"/>
        <family val="0"/>
        <charset val="1"/>
      </rPr>
      <t xml:space="preserve">3.3%) </t>
    </r>
    <r>
      <rPr>
        <sz val="10"/>
        <color rgb="FF000000"/>
        <rFont val="WenQuanYi Zen Hei"/>
        <family val="2"/>
      </rPr>
      <t xml:space="preserve">관리</t>
    </r>
  </si>
  <si>
    <r>
      <rPr>
        <sz val="10"/>
        <color rgb="FF000000"/>
        <rFont val="WenQuanYi Zen Hei"/>
        <family val="2"/>
      </rPr>
      <t xml:space="preserve">활성 판매자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개인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</si>
  <si>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판매자 </t>
    </r>
    <r>
      <rPr>
        <sz val="10"/>
        <color rgb="FF000000"/>
        <rFont val="Arial"/>
        <family val="0"/>
        <charset val="1"/>
      </rPr>
      <t xml:space="preserve">DB</t>
    </r>
  </si>
  <si>
    <r>
      <rPr>
        <sz val="10"/>
        <color rgb="FF000000"/>
        <rFont val="WenQuanYi Zen Hei"/>
        <family val="2"/>
      </rPr>
      <t xml:space="preserve">개인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사업자 셀러는 원천징수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세금계산서 처리 방식이 다름</t>
    </r>
  </si>
  <si>
    <r>
      <rPr>
        <sz val="10"/>
        <color rgb="FF000000"/>
        <rFont val="WenQuanYi Zen Hei"/>
        <family val="2"/>
      </rPr>
      <t xml:space="preserve">활성 판매자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사업자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</si>
  <si>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[c] </t>
    </r>
    <r>
      <rPr>
        <sz val="10"/>
        <color rgb="FF000000"/>
        <rFont val="WenQuanYi Zen Hei"/>
        <family val="2"/>
      </rPr>
      <t xml:space="preserve">컨퍼런스</t>
    </r>
  </si>
  <si>
    <t xml:space="preserve">개인 티켓 판매 수</t>
  </si>
  <si>
    <t xml:space="preserve">티켓 판매내역</t>
  </si>
  <si>
    <r>
      <rPr>
        <sz val="10"/>
        <color rgb="FF000000"/>
        <rFont val="WenQuanYi Zen Hei"/>
        <family val="2"/>
      </rPr>
      <t xml:space="preserve">행사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회당 손익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티켓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WenQuanYi Zen Hei"/>
        <family val="2"/>
      </rPr>
      <t xml:space="preserve">대관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시설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광고</t>
    </r>
    <r>
      <rPr>
        <sz val="10"/>
        <color rgb="FF000000"/>
        <rFont val="Arial"/>
        <family val="0"/>
        <charset val="1"/>
      </rPr>
      <t xml:space="preserve">) </t>
    </r>
    <r>
      <rPr>
        <sz val="10"/>
        <color rgb="FF000000"/>
        <rFont val="WenQuanYi Zen Hei"/>
        <family val="2"/>
      </rPr>
      <t xml:space="preserve">판단</t>
    </r>
  </si>
  <si>
    <r>
      <rPr>
        <sz val="10"/>
        <rFont val="Arial"/>
        <family val="0"/>
        <charset val="1"/>
      </rPr>
      <t xml:space="preserve">[c] </t>
    </r>
    <r>
      <rPr>
        <sz val="10"/>
        <rFont val="WenQuanYi Zen Hei"/>
        <family val="2"/>
      </rPr>
      <t xml:space="preserve">컨퍼런스</t>
    </r>
  </si>
  <si>
    <t xml:space="preserve">개인 티켓 객단가</t>
  </si>
  <si>
    <t xml:space="preserve">현금</t>
  </si>
  <si>
    <t xml:space="preserve">기말 현금</t>
  </si>
  <si>
    <r>
      <rPr>
        <sz val="10"/>
        <color rgb="FF000000"/>
        <rFont val="WenQuanYi Zen Hei"/>
        <family val="2"/>
      </rPr>
      <t xml:space="preserve">순현금소진</t>
    </r>
    <r>
      <rPr>
        <sz val="10"/>
        <color rgb="FF000000"/>
        <rFont val="Arial"/>
        <family val="0"/>
        <charset val="1"/>
      </rPr>
      <t xml:space="preserve">(Net burn = -(</t>
    </r>
    <r>
      <rPr>
        <sz val="10"/>
        <color rgb="FF000000"/>
        <rFont val="WenQuanYi Zen Hei"/>
        <family val="2"/>
      </rPr>
      <t xml:space="preserve">영업</t>
    </r>
    <r>
      <rPr>
        <sz val="10"/>
        <color rgb="FF000000"/>
        <rFont val="Arial"/>
        <family val="0"/>
        <charset val="1"/>
      </rPr>
      <t xml:space="preserve">CF+</t>
    </r>
    <r>
      <rPr>
        <sz val="10"/>
        <color rgb="FF000000"/>
        <rFont val="WenQuanYi Zen Hei"/>
        <family val="2"/>
      </rPr>
      <t xml:space="preserve">투자</t>
    </r>
    <r>
      <rPr>
        <sz val="10"/>
        <color rgb="FF000000"/>
        <rFont val="Arial"/>
        <family val="0"/>
        <charset val="1"/>
      </rPr>
      <t xml:space="preserve">CF))</t>
    </r>
  </si>
  <si>
    <t xml:space="preserve">정부보조금 포함 실제 현금 소진 속도</t>
  </si>
  <si>
    <r>
      <rPr>
        <sz val="10"/>
        <color rgb="FF000000"/>
        <rFont val="WenQuanYi Zen Hei"/>
        <family val="2"/>
      </rPr>
      <t xml:space="preserve">최근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개월 평균 </t>
    </r>
    <r>
      <rPr>
        <sz val="10"/>
        <color rgb="FF000000"/>
        <rFont val="Arial"/>
        <family val="0"/>
        <charset val="1"/>
      </rPr>
      <t xml:space="preserve">Net burn</t>
    </r>
  </si>
  <si>
    <r>
      <rPr>
        <sz val="10"/>
        <color rgb="FF000000"/>
        <rFont val="WenQuanYi Zen Hei"/>
        <family val="2"/>
      </rPr>
      <t xml:space="preserve">런웨이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개월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기말현금</t>
    </r>
    <r>
      <rPr>
        <sz val="10"/>
        <color rgb="FF000000"/>
        <rFont val="Arial"/>
        <family val="0"/>
        <charset val="1"/>
      </rPr>
      <t xml:space="preserve">/3</t>
    </r>
    <r>
      <rPr>
        <sz val="10"/>
        <color rgb="FF000000"/>
        <rFont val="WenQuanYi Zen Hei"/>
        <family val="2"/>
      </rPr>
      <t xml:space="preserve">개월 평균 </t>
    </r>
    <r>
      <rPr>
        <sz val="10"/>
        <color rgb="FF000000"/>
        <rFont val="Arial"/>
        <family val="0"/>
        <charset val="1"/>
      </rPr>
      <t xml:space="preserve">burn)</t>
    </r>
  </si>
  <si>
    <t xml:space="preserve">개월</t>
  </si>
  <si>
    <r>
      <rPr>
        <sz val="10"/>
        <color rgb="FF000000"/>
        <rFont val="WenQuanYi Zen Hei"/>
        <family val="2"/>
      </rPr>
      <t xml:space="preserve">정부보조금 의존도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보조금</t>
    </r>
    <r>
      <rPr>
        <sz val="10"/>
        <color rgb="FF000000"/>
        <rFont val="Arial"/>
        <family val="0"/>
        <charset val="1"/>
      </rPr>
      <t xml:space="preserve">/(</t>
    </r>
    <r>
      <rPr>
        <sz val="10"/>
        <color rgb="FF000000"/>
        <rFont val="WenQuanYi Zen Hei"/>
        <family val="2"/>
      </rPr>
      <t xml:space="preserve">매출</t>
    </r>
    <r>
      <rPr>
        <sz val="10"/>
        <color rgb="FF000000"/>
        <rFont val="Arial"/>
        <family val="0"/>
        <charset val="1"/>
      </rPr>
      <t xml:space="preserve">+</t>
    </r>
    <r>
      <rPr>
        <sz val="10"/>
        <color rgb="FF000000"/>
        <rFont val="WenQuanYi Zen Hei"/>
        <family val="2"/>
      </rPr>
      <t xml:space="preserve">보조금</t>
    </r>
    <r>
      <rPr>
        <sz val="10"/>
        <color rgb="FF000000"/>
        <rFont val="Arial"/>
        <family val="0"/>
        <charset val="1"/>
      </rPr>
      <t xml:space="preserve">))</t>
    </r>
  </si>
  <si>
    <r>
      <rPr>
        <sz val="10"/>
        <color rgb="FF000000"/>
        <rFont val="WenQuanYi Zen Hei"/>
        <family val="2"/>
      </rPr>
      <t xml:space="preserve">보조금 종료 시점의 손익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현금 절벽 점검</t>
    </r>
  </si>
  <si>
    <r>
      <rPr>
        <sz val="10"/>
        <color rgb="FF000000"/>
        <rFont val="WenQuanYi Zen Hei"/>
        <family val="2"/>
      </rPr>
      <t xml:space="preserve">보조금 제외 영업</t>
    </r>
    <r>
      <rPr>
        <sz val="10"/>
        <color rgb="FF000000"/>
        <rFont val="Arial"/>
        <family val="0"/>
        <charset val="1"/>
      </rPr>
      <t xml:space="preserve">CF</t>
    </r>
  </si>
  <si>
    <r>
      <rPr>
        <b val="true"/>
        <sz val="13"/>
        <rFont val="WenQuanYi Zen Hei"/>
        <family val="2"/>
      </rPr>
      <t xml:space="preserve">핵심 가정 </t>
    </r>
    <r>
      <rPr>
        <b val="true"/>
        <sz val="13"/>
        <rFont val="Arial"/>
        <family val="0"/>
        <charset val="1"/>
      </rPr>
      <t xml:space="preserve">· </t>
    </r>
    <r>
      <rPr>
        <b val="true"/>
        <sz val="13"/>
        <rFont val="WenQuanYi Zen Hei"/>
        <family val="2"/>
      </rPr>
      <t xml:space="preserve">시나리오 레버 </t>
    </r>
    <r>
      <rPr>
        <b val="true"/>
        <sz val="13"/>
        <rFont val="Arial"/>
        <family val="0"/>
        <charset val="1"/>
      </rPr>
      <t xml:space="preserve">(</t>
    </r>
    <r>
      <rPr>
        <b val="true"/>
        <sz val="13"/>
        <rFont val="WenQuanYi Zen Hei"/>
        <family val="2"/>
      </rPr>
      <t xml:space="preserve">연습용 가상 값</t>
    </r>
    <r>
      <rPr>
        <b val="true"/>
        <sz val="13"/>
        <rFont val="Arial"/>
        <family val="0"/>
        <charset val="1"/>
      </rPr>
      <t xml:space="preserve">)</t>
    </r>
  </si>
  <si>
    <r>
      <rPr>
        <i val="true"/>
        <sz val="9"/>
        <color rgb="FF595959"/>
        <rFont val="Arial"/>
        <family val="0"/>
        <charset val="1"/>
      </rPr>
      <t xml:space="preserve">※ Base </t>
    </r>
    <r>
      <rPr>
        <i val="true"/>
        <sz val="9"/>
        <color rgb="FF595959"/>
        <rFont val="WenQuanYi Zen Hei"/>
        <family val="2"/>
      </rPr>
      <t xml:space="preserve">열이 이 파일 데이터에 반영된 값입니다</t>
    </r>
    <r>
      <rPr>
        <i val="true"/>
        <sz val="9"/>
        <color rgb="FF595959"/>
        <rFont val="Arial"/>
        <family val="0"/>
        <charset val="1"/>
      </rPr>
      <t xml:space="preserve">. Best/Worst</t>
    </r>
    <r>
      <rPr>
        <i val="true"/>
        <sz val="9"/>
        <color rgb="FF595959"/>
        <rFont val="WenQuanYi Zen Hei"/>
        <family val="2"/>
      </rPr>
      <t xml:space="preserve">는 </t>
    </r>
    <r>
      <rPr>
        <i val="true"/>
        <sz val="9"/>
        <color rgb="FF595959"/>
        <rFont val="Arial"/>
        <family val="0"/>
        <charset val="1"/>
      </rPr>
      <t xml:space="preserve">2</t>
    </r>
    <r>
      <rPr>
        <i val="true"/>
        <sz val="9"/>
        <color rgb="FF595959"/>
        <rFont val="WenQuanYi Zen Hei"/>
        <family val="2"/>
      </rPr>
      <t xml:space="preserve">회차 세션</t>
    </r>
    <r>
      <rPr>
        <i val="true"/>
        <sz val="9"/>
        <color rgb="FF595959"/>
        <rFont val="Arial"/>
        <family val="0"/>
        <charset val="1"/>
      </rPr>
      <t xml:space="preserve">4(</t>
    </r>
    <r>
      <rPr>
        <i val="true"/>
        <sz val="9"/>
        <color rgb="FF595959"/>
        <rFont val="WenQuanYi Zen Hei"/>
        <family val="2"/>
      </rPr>
      <t xml:space="preserve">시나리오 설계</t>
    </r>
    <r>
      <rPr>
        <i val="true"/>
        <sz val="9"/>
        <color rgb="FF595959"/>
        <rFont val="Arial"/>
        <family val="0"/>
        <charset val="1"/>
      </rPr>
      <t xml:space="preserve">) </t>
    </r>
    <r>
      <rPr>
        <i val="true"/>
        <sz val="9"/>
        <color rgb="FF595959"/>
        <rFont val="WenQuanYi Zen Hei"/>
        <family val="2"/>
      </rPr>
      <t xml:space="preserve">연습용 출발점이며 파일 숫자에는 반영되어 있지 않습니다</t>
    </r>
    <r>
      <rPr>
        <i val="true"/>
        <sz val="9"/>
        <color rgb="FF595959"/>
        <rFont val="Arial"/>
        <family val="0"/>
        <charset val="1"/>
      </rPr>
      <t xml:space="preserve">.</t>
    </r>
  </si>
  <si>
    <t xml:space="preserve">가정 항목</t>
  </si>
  <si>
    <r>
      <rPr>
        <b val="true"/>
        <sz val="10"/>
        <color rgb="FFFFFFFF"/>
        <rFont val="Arial"/>
        <family val="0"/>
        <charset val="1"/>
      </rPr>
      <t xml:space="preserve">Base(</t>
    </r>
    <r>
      <rPr>
        <b val="true"/>
        <sz val="10"/>
        <color rgb="FFFFFFFF"/>
        <rFont val="WenQuanYi Zen Hei"/>
        <family val="2"/>
      </rPr>
      <t xml:space="preserve">반영값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</si>
  <si>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Best</t>
  </si>
  <si>
    <t xml:space="preserve">Worst</t>
  </si>
  <si>
    <r>
      <rPr>
        <b val="true"/>
        <sz val="10"/>
        <color rgb="FFFFFFFF"/>
        <rFont val="WenQuanYi Zen Hei"/>
        <family val="2"/>
      </rPr>
      <t xml:space="preserve">근거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WenQuanYi Zen Hei"/>
        <family val="2"/>
      </rPr>
      <t xml:space="preserve">설명</t>
    </r>
  </si>
  <si>
    <r>
      <rPr>
        <sz val="10"/>
        <color rgb="FF000000"/>
        <rFont val="WenQuanYi Zen Hei"/>
        <family val="2"/>
      </rPr>
      <t xml:space="preserve">매출</t>
    </r>
    <r>
      <rPr>
        <sz val="10"/>
        <color rgb="FF000000"/>
        <rFont val="Arial"/>
        <family val="0"/>
        <charset val="1"/>
      </rPr>
      <t xml:space="preserve">[a]</t>
    </r>
  </si>
  <si>
    <r>
      <rPr>
        <sz val="10"/>
        <color rgb="FF000000"/>
        <rFont val="WenQuanYi Zen Hei"/>
        <family val="2"/>
      </rPr>
      <t xml:space="preserve">가격</t>
    </r>
    <r>
      <rPr>
        <sz val="10"/>
        <color rgb="FF000000"/>
        <rFont val="Arial"/>
        <family val="0"/>
        <charset val="1"/>
      </rPr>
      <t xml:space="preserve">(VAT </t>
    </r>
    <r>
      <rPr>
        <sz val="10"/>
        <color rgb="FF000000"/>
        <rFont val="WenQuanYi Zen Hei"/>
        <family val="2"/>
      </rPr>
      <t xml:space="preserve">별도</t>
    </r>
    <r>
      <rPr>
        <sz val="10"/>
        <color rgb="FF000000"/>
        <rFont val="Arial"/>
        <family val="0"/>
        <charset val="1"/>
      </rPr>
      <t xml:space="preserve">) Pro </t>
    </r>
    <r>
      <rPr>
        <sz val="10"/>
        <color rgb="FF000000"/>
        <rFont val="WenQuanYi Zen Hei"/>
        <family val="2"/>
      </rPr>
      <t xml:space="preserve">월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연</t>
    </r>
  </si>
  <si>
    <t xml:space="preserve">18,000 / 180,000</t>
  </si>
  <si>
    <t xml:space="preserve">동일</t>
  </si>
  <si>
    <r>
      <rPr>
        <sz val="10"/>
        <color rgb="FF000000"/>
        <rFont val="WenQuanYi Zen Hei"/>
        <family val="2"/>
      </rPr>
      <t xml:space="preserve">연간</t>
    </r>
    <r>
      <rPr>
        <sz val="10"/>
        <color rgb="FF000000"/>
        <rFont val="Arial"/>
        <family val="0"/>
        <charset val="1"/>
      </rPr>
      <t xml:space="preserve">=</t>
    </r>
    <r>
      <rPr>
        <sz val="10"/>
        <color rgb="FF000000"/>
        <rFont val="WenQuanYi Zen Hei"/>
        <family val="2"/>
      </rPr>
      <t xml:space="preserve">월 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WenQuanYi Zen Hei"/>
        <family val="2"/>
      </rPr>
      <t xml:space="preserve">개월분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약 </t>
    </r>
    <r>
      <rPr>
        <sz val="10"/>
        <color rgb="FF000000"/>
        <rFont val="Arial"/>
        <family val="0"/>
        <charset val="1"/>
      </rPr>
      <t xml:space="preserve">17% </t>
    </r>
    <r>
      <rPr>
        <sz val="10"/>
        <color rgb="FF000000"/>
        <rFont val="WenQuanYi Zen Hei"/>
        <family val="2"/>
      </rPr>
      <t xml:space="preserve">할인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</si>
  <si>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가격</t>
    </r>
    <r>
      <rPr>
        <sz val="10"/>
        <color rgb="FF000000"/>
        <rFont val="Arial"/>
        <family val="0"/>
        <charset val="1"/>
      </rPr>
      <t xml:space="preserve">(VAT </t>
    </r>
    <r>
      <rPr>
        <sz val="10"/>
        <color rgb="FF000000"/>
        <rFont val="WenQuanYi Zen Hei"/>
        <family val="2"/>
      </rPr>
      <t xml:space="preserve">별도</t>
    </r>
    <r>
      <rPr>
        <sz val="10"/>
        <color rgb="FF000000"/>
        <rFont val="Arial"/>
        <family val="0"/>
        <charset val="1"/>
      </rPr>
      <t xml:space="preserve">) Max </t>
    </r>
    <r>
      <rPr>
        <sz val="10"/>
        <color rgb="FF000000"/>
        <rFont val="WenQuanYi Zen Hei"/>
        <family val="2"/>
      </rPr>
      <t xml:space="preserve">월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연</t>
    </r>
  </si>
  <si>
    <t xml:space="preserve">36,000 / 360,000</t>
  </si>
  <si>
    <r>
      <rPr>
        <sz val="10"/>
        <color rgb="FF000000"/>
        <rFont val="WenQuanYi Zen Hei"/>
        <family val="2"/>
      </rPr>
      <t xml:space="preserve">신규 유료 구독 증가율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월</t>
    </r>
    <r>
      <rPr>
        <sz val="10"/>
        <color rgb="FF000000"/>
        <rFont val="Arial"/>
        <family val="0"/>
        <charset val="1"/>
      </rPr>
      <t xml:space="preserve">)</t>
    </r>
  </si>
  <si>
    <t xml:space="preserve">2025-09~2026-12 9%, 2027 3%, 2028 2%</t>
  </si>
  <si>
    <t xml:space="preserve">+2%p</t>
  </si>
  <si>
    <t xml:space="preserve">-3%p</t>
  </si>
  <si>
    <t xml:space="preserve">출시 초기 고성장 후 둔화</t>
  </si>
  <si>
    <r>
      <rPr>
        <sz val="10"/>
        <color rgb="FF000000"/>
        <rFont val="Arial"/>
        <family val="0"/>
        <charset val="1"/>
      </rPr>
      <t xml:space="preserve">Max/Pro </t>
    </r>
    <r>
      <rPr>
        <sz val="10"/>
        <color rgb="FF000000"/>
        <rFont val="WenQuanYi Zen Hei"/>
        <family val="2"/>
      </rPr>
      <t xml:space="preserve">신규 비율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연간 선택 비율</t>
    </r>
  </si>
  <si>
    <t xml:space="preserve">30% / Pro 12%·Max 6%</t>
  </si>
  <si>
    <t xml:space="preserve">35% / 15%·8%</t>
  </si>
  <si>
    <t xml:space="preserve">25% / 8%·4%</t>
  </si>
  <si>
    <r>
      <rPr>
        <sz val="10"/>
        <color rgb="FF000000"/>
        <rFont val="WenQuanYi Zen Hei"/>
        <family val="2"/>
      </rPr>
      <t xml:space="preserve">월간 플랜 해지율 </t>
    </r>
    <r>
      <rPr>
        <sz val="10"/>
        <color rgb="FF000000"/>
        <rFont val="Arial"/>
        <family val="0"/>
        <charset val="1"/>
      </rPr>
      <t xml:space="preserve">Pro/Max</t>
    </r>
  </si>
  <si>
    <t xml:space="preserve">14%·11%(2026) → 12%·10%(2027~)</t>
  </si>
  <si>
    <t xml:space="preserve">-2%p</t>
  </si>
  <si>
    <t xml:space="preserve">+4%p</t>
  </si>
  <si>
    <r>
      <rPr>
        <sz val="10"/>
        <color rgb="FF000000"/>
        <rFont val="Arial"/>
        <family val="0"/>
        <charset val="1"/>
      </rPr>
      <t xml:space="preserve">%/</t>
    </r>
    <r>
      <rPr>
        <sz val="10"/>
        <color rgb="FF000000"/>
        <rFont val="WenQuanYi Zen Hei"/>
        <family val="2"/>
      </rPr>
      <t xml:space="preserve">월</t>
    </r>
  </si>
  <si>
    <r>
      <rPr>
        <sz val="10"/>
        <color rgb="FF000000"/>
        <rFont val="WenQuanYi Zen Hei"/>
        <family val="2"/>
      </rPr>
      <t xml:space="preserve">취업 성공 시 해지 → </t>
    </r>
    <r>
      <rPr>
        <sz val="10"/>
        <color rgb="FF000000"/>
        <rFont val="Arial"/>
        <family val="0"/>
        <charset val="1"/>
      </rPr>
      <t xml:space="preserve">B2C </t>
    </r>
    <r>
      <rPr>
        <sz val="10"/>
        <color rgb="FF000000"/>
        <rFont val="WenQuanYi Zen Hei"/>
        <family val="2"/>
      </rPr>
      <t xml:space="preserve">구독 중 해지율 높은 편</t>
    </r>
  </si>
  <si>
    <r>
      <rPr>
        <sz val="10"/>
        <color rgb="FF000000"/>
        <rFont val="WenQuanYi Zen Hei"/>
        <family val="2"/>
      </rPr>
      <t xml:space="preserve">연간구독 갱신율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법인 재계약률</t>
    </r>
  </si>
  <si>
    <t xml:space="preserve">45% / 80%</t>
  </si>
  <si>
    <t xml:space="preserve">55% / 90%</t>
  </si>
  <si>
    <t xml:space="preserve">30% / 60%</t>
  </si>
  <si>
    <r>
      <rPr>
        <sz val="10"/>
        <color rgb="FF000000"/>
        <rFont val="WenQuanYi Zen Hei"/>
        <family val="2"/>
      </rPr>
      <t xml:space="preserve">계절성 지수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신규 가입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</si>
  <si>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WenQuanYi Zen Hei"/>
        <family val="2"/>
      </rPr>
      <t xml:space="preserve">월 </t>
    </r>
    <r>
      <rPr>
        <sz val="10"/>
        <color rgb="FF0000FF"/>
        <rFont val="Arial"/>
        <family val="0"/>
        <charset val="1"/>
      </rPr>
      <t xml:space="preserve">1.4, 9</t>
    </r>
    <r>
      <rPr>
        <sz val="10"/>
        <color rgb="FF0000FF"/>
        <rFont val="WenQuanYi Zen Hei"/>
        <family val="2"/>
      </rPr>
      <t xml:space="preserve">월 </t>
    </r>
    <r>
      <rPr>
        <sz val="10"/>
        <color rgb="FF0000FF"/>
        <rFont val="Arial"/>
        <family val="0"/>
        <charset val="1"/>
      </rPr>
      <t xml:space="preserve">1.5, 12</t>
    </r>
    <r>
      <rPr>
        <sz val="10"/>
        <color rgb="FF0000FF"/>
        <rFont val="WenQuanYi Zen Hei"/>
        <family val="2"/>
      </rPr>
      <t xml:space="preserve">월 </t>
    </r>
    <r>
      <rPr>
        <sz val="10"/>
        <color rgb="FF0000FF"/>
        <rFont val="Arial"/>
        <family val="0"/>
        <charset val="1"/>
      </rPr>
      <t xml:space="preserve">0.7 </t>
    </r>
    <r>
      <rPr>
        <sz val="10"/>
        <color rgb="FF0000FF"/>
        <rFont val="WenQuanYi Zen Hei"/>
        <family val="2"/>
      </rPr>
      <t xml:space="preserve">등</t>
    </r>
  </si>
  <si>
    <t xml:space="preserve">-</t>
  </si>
  <si>
    <t xml:space="preserve">배수</t>
  </si>
  <si>
    <r>
      <rPr>
        <sz val="10"/>
        <color rgb="FF000000"/>
        <rFont val="WenQuanYi Zen Hei"/>
        <family val="2"/>
      </rPr>
      <t xml:space="preserve">상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하반기 공채 시즌</t>
    </r>
  </si>
  <si>
    <t xml:space="preserve">크레딧 결제액</t>
  </si>
  <si>
    <r>
      <rPr>
        <sz val="10"/>
        <color rgb="FF0000FF"/>
        <rFont val="WenQuanYi Zen Hei"/>
        <family val="2"/>
      </rPr>
      <t xml:space="preserve">개인 월구독 매출의 약 </t>
    </r>
    <r>
      <rPr>
        <sz val="10"/>
        <color rgb="FF0000FF"/>
        <rFont val="Arial"/>
        <family val="0"/>
        <charset val="1"/>
      </rPr>
      <t xml:space="preserve">22%(</t>
    </r>
    <r>
      <rPr>
        <sz val="10"/>
        <color rgb="FF0000FF"/>
        <rFont val="WenQuanYi Zen Hei"/>
        <family val="2"/>
      </rPr>
      <t xml:space="preserve">계절성 반영</t>
    </r>
    <r>
      <rPr>
        <sz val="10"/>
        <color rgb="FF0000FF"/>
        <rFont val="Arial"/>
        <family val="0"/>
        <charset val="1"/>
      </rPr>
      <t xml:space="preserve">)</t>
    </r>
  </si>
  <si>
    <t xml:space="preserve">30%</t>
  </si>
  <si>
    <t xml:space="preserve">15%</t>
  </si>
  <si>
    <r>
      <rPr>
        <sz val="10"/>
        <color rgb="FF000000"/>
        <rFont val="WenQuanYi Zen Hei"/>
        <family val="2"/>
      </rPr>
      <t xml:space="preserve">구매월 </t>
    </r>
    <r>
      <rPr>
        <sz val="10"/>
        <color rgb="FF000000"/>
        <rFont val="Arial"/>
        <family val="0"/>
        <charset val="1"/>
      </rPr>
      <t xml:space="preserve">70%·</t>
    </r>
    <r>
      <rPr>
        <sz val="10"/>
        <color rgb="FF000000"/>
        <rFont val="WenQuanYi Zen Hei"/>
        <family val="2"/>
      </rPr>
      <t xml:space="preserve">익월 </t>
    </r>
    <r>
      <rPr>
        <sz val="10"/>
        <color rgb="FF000000"/>
        <rFont val="Arial"/>
        <family val="0"/>
        <charset val="1"/>
      </rPr>
      <t xml:space="preserve">30% </t>
    </r>
    <r>
      <rPr>
        <sz val="10"/>
        <color rgb="FF000000"/>
        <rFont val="WenQuanYi Zen Hei"/>
        <family val="2"/>
      </rPr>
      <t xml:space="preserve">사용 가정</t>
    </r>
  </si>
  <si>
    <t xml:space="preserve">법인 연간계약</t>
  </si>
  <si>
    <r>
      <rPr>
        <sz val="10"/>
        <color rgb="FF0000FF"/>
        <rFont val="Arial"/>
        <family val="0"/>
        <charset val="1"/>
      </rPr>
      <t xml:space="preserve">2026-03 100</t>
    </r>
    <r>
      <rPr>
        <sz val="10"/>
        <color rgb="FF0000FF"/>
        <rFont val="WenQuanYi Zen Hei"/>
        <family val="2"/>
      </rPr>
      <t xml:space="preserve">석 </t>
    </r>
    <r>
      <rPr>
        <sz val="10"/>
        <color rgb="FF0000FF"/>
        <rFont val="Arial"/>
        <family val="0"/>
        <charset val="1"/>
      </rPr>
      <t xml:space="preserve">/ 2026-09 80</t>
    </r>
    <r>
      <rPr>
        <sz val="10"/>
        <color rgb="FF0000FF"/>
        <rFont val="WenQuanYi Zen Hei"/>
        <family val="2"/>
      </rPr>
      <t xml:space="preserve">석 </t>
    </r>
    <r>
      <rPr>
        <sz val="10"/>
        <color rgb="FF0000FF"/>
        <rFont val="Arial"/>
        <family val="0"/>
        <charset val="1"/>
      </rPr>
      <t xml:space="preserve">/ 2027-03 200</t>
    </r>
    <r>
      <rPr>
        <sz val="10"/>
        <color rgb="FF0000FF"/>
        <rFont val="WenQuanYi Zen Hei"/>
        <family val="2"/>
      </rPr>
      <t xml:space="preserve">석</t>
    </r>
    <r>
      <rPr>
        <sz val="10"/>
        <color rgb="FF0000FF"/>
        <rFont val="Arial"/>
        <family val="0"/>
        <charset val="1"/>
      </rPr>
      <t xml:space="preserve">+Max 40</t>
    </r>
    <r>
      <rPr>
        <sz val="10"/>
        <color rgb="FF0000FF"/>
        <rFont val="WenQuanYi Zen Hei"/>
        <family val="2"/>
      </rPr>
      <t xml:space="preserve">석 </t>
    </r>
    <r>
      <rPr>
        <sz val="10"/>
        <color rgb="FF0000FF"/>
        <rFont val="Arial"/>
        <family val="0"/>
        <charset val="1"/>
      </rPr>
      <t xml:space="preserve">/ 2027-09 150</t>
    </r>
    <r>
      <rPr>
        <sz val="10"/>
        <color rgb="FF0000FF"/>
        <rFont val="WenQuanYi Zen Hei"/>
        <family val="2"/>
      </rPr>
      <t xml:space="preserve">석</t>
    </r>
  </si>
  <si>
    <t xml:space="preserve">+50%</t>
  </si>
  <si>
    <r>
      <rPr>
        <sz val="10"/>
        <color rgb="FF0000FF"/>
        <rFont val="Arial"/>
        <family val="0"/>
        <charset val="1"/>
      </rPr>
      <t xml:space="preserve">-50%·</t>
    </r>
    <r>
      <rPr>
        <sz val="10"/>
        <color rgb="FF0000FF"/>
        <rFont val="WenQuanYi Zen Hei"/>
        <family val="2"/>
      </rPr>
      <t xml:space="preserve">지연 </t>
    </r>
    <r>
      <rPr>
        <sz val="10"/>
        <color rgb="FF0000FF"/>
        <rFont val="Arial"/>
        <family val="0"/>
        <charset val="1"/>
      </rPr>
      <t xml:space="preserve">6</t>
    </r>
    <r>
      <rPr>
        <sz val="10"/>
        <color rgb="FF0000FF"/>
        <rFont val="WenQuanYi Zen Hei"/>
        <family val="2"/>
      </rPr>
      <t xml:space="preserve">개월</t>
    </r>
  </si>
  <si>
    <r>
      <rPr>
        <sz val="10"/>
        <color rgb="FF000000"/>
        <rFont val="WenQuanYi Zen Hei"/>
        <family val="2"/>
      </rPr>
      <t xml:space="preserve">대학 취업지원센터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기관</t>
    </r>
  </si>
  <si>
    <r>
      <rPr>
        <sz val="10"/>
        <color rgb="FF000000"/>
        <rFont val="WenQuanYi Zen Hei"/>
        <family val="2"/>
      </rPr>
      <t xml:space="preserve">매출</t>
    </r>
    <r>
      <rPr>
        <sz val="10"/>
        <color rgb="FF000000"/>
        <rFont val="Arial"/>
        <family val="0"/>
        <charset val="1"/>
      </rPr>
      <t xml:space="preserve">[b]</t>
    </r>
  </si>
  <si>
    <r>
      <rPr>
        <sz val="10"/>
        <color rgb="FF000000"/>
        <rFont val="Arial"/>
        <family val="0"/>
        <charset val="1"/>
      </rPr>
      <t xml:space="preserve">GMV </t>
    </r>
    <r>
      <rPr>
        <sz val="10"/>
        <color rgb="FF000000"/>
        <rFont val="WenQuanYi Zen Hei"/>
        <family val="2"/>
      </rPr>
      <t xml:space="preserve">출시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증가율</t>
    </r>
  </si>
  <si>
    <r>
      <rPr>
        <sz val="10"/>
        <color rgb="FF0000FF"/>
        <rFont val="WenQuanYi Zen Hei"/>
        <family val="2"/>
      </rPr>
      <t xml:space="preserve">전자책 </t>
    </r>
    <r>
      <rPr>
        <sz val="10"/>
        <color rgb="FF0000FF"/>
        <rFont val="Arial"/>
        <family val="0"/>
        <charset val="1"/>
      </rPr>
      <t xml:space="preserve">2026-03 300</t>
    </r>
    <r>
      <rPr>
        <sz val="10"/>
        <color rgb="FF0000FF"/>
        <rFont val="WenQuanYi Zen Hei"/>
        <family val="2"/>
      </rPr>
      <t xml:space="preserve">만원</t>
    </r>
    <r>
      <rPr>
        <sz val="10"/>
        <color rgb="FF0000FF"/>
        <rFont val="Arial"/>
        <family val="0"/>
        <charset val="1"/>
      </rPr>
      <t xml:space="preserve">, </t>
    </r>
    <r>
      <rPr>
        <sz val="10"/>
        <color rgb="FF0000FF"/>
        <rFont val="WenQuanYi Zen Hei"/>
        <family val="2"/>
      </rPr>
      <t xml:space="preserve">강의 </t>
    </r>
    <r>
      <rPr>
        <sz val="10"/>
        <color rgb="FF0000FF"/>
        <rFont val="Arial"/>
        <family val="0"/>
        <charset val="1"/>
      </rPr>
      <t xml:space="preserve">2026-05 200</t>
    </r>
    <r>
      <rPr>
        <sz val="10"/>
        <color rgb="FF0000FF"/>
        <rFont val="WenQuanYi Zen Hei"/>
        <family val="2"/>
      </rPr>
      <t xml:space="preserve">만원</t>
    </r>
    <r>
      <rPr>
        <sz val="10"/>
        <color rgb="FF0000FF"/>
        <rFont val="Arial"/>
        <family val="0"/>
        <charset val="1"/>
      </rPr>
      <t xml:space="preserve">, 2026 </t>
    </r>
    <r>
      <rPr>
        <sz val="10"/>
        <color rgb="FF0000FF"/>
        <rFont val="WenQuanYi Zen Hei"/>
        <family val="2"/>
      </rPr>
      <t xml:space="preserve">월 </t>
    </r>
    <r>
      <rPr>
        <sz val="10"/>
        <color rgb="FF0000FF"/>
        <rFont val="Arial"/>
        <family val="0"/>
        <charset val="1"/>
      </rPr>
      <t xml:space="preserve">12~15%</t>
    </r>
  </si>
  <si>
    <t xml:space="preserve">+5%p</t>
  </si>
  <si>
    <t xml:space="preserve">-7%p</t>
  </si>
  <si>
    <r>
      <rPr>
        <sz val="10"/>
        <color rgb="FF000000"/>
        <rFont val="WenQuanYi Zen Hei"/>
        <family val="2"/>
      </rPr>
      <t xml:space="preserve">수수료율</t>
    </r>
    <r>
      <rPr>
        <sz val="10"/>
        <color rgb="FF000000"/>
        <rFont val="Arial"/>
        <family val="0"/>
        <charset val="1"/>
      </rPr>
      <t xml:space="preserve">(Take rate)</t>
    </r>
  </si>
  <si>
    <r>
      <rPr>
        <sz val="10"/>
        <color rgb="FF0000FF"/>
        <rFont val="WenQuanYi Zen Hei"/>
        <family val="2"/>
      </rPr>
      <t xml:space="preserve">전자책 </t>
    </r>
    <r>
      <rPr>
        <sz val="10"/>
        <color rgb="FF0000FF"/>
        <rFont val="Arial"/>
        <family val="0"/>
        <charset val="1"/>
      </rPr>
      <t xml:space="preserve">20%, </t>
    </r>
    <r>
      <rPr>
        <sz val="10"/>
        <color rgb="FF0000FF"/>
        <rFont val="WenQuanYi Zen Hei"/>
        <family val="2"/>
      </rPr>
      <t xml:space="preserve">강의 </t>
    </r>
    <r>
      <rPr>
        <sz val="10"/>
        <color rgb="FF0000FF"/>
        <rFont val="Arial"/>
        <family val="0"/>
        <charset val="1"/>
      </rPr>
      <t xml:space="preserve">25%</t>
    </r>
  </si>
  <si>
    <r>
      <rPr>
        <sz val="10"/>
        <color rgb="FF0000FF"/>
        <rFont val="Arial"/>
        <family val="0"/>
        <charset val="1"/>
      </rPr>
      <t xml:space="preserve">-5%p(</t>
    </r>
    <r>
      <rPr>
        <sz val="10"/>
        <color rgb="FF0000FF"/>
        <rFont val="WenQuanYi Zen Hei"/>
        <family val="2"/>
      </rPr>
      <t xml:space="preserve">경쟁</t>
    </r>
    <r>
      <rPr>
        <sz val="10"/>
        <color rgb="FF0000FF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</si>
  <si>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매출</t>
    </r>
    <r>
      <rPr>
        <sz val="10"/>
        <color rgb="FF000000"/>
        <rFont val="Arial"/>
        <family val="0"/>
        <charset val="1"/>
      </rPr>
      <t xml:space="preserve">[c]</t>
    </r>
  </si>
  <si>
    <t xml:space="preserve">컨퍼런스</t>
  </si>
  <si>
    <r>
      <rPr>
        <sz val="10"/>
        <color rgb="FF0000FF"/>
        <rFont val="WenQuanYi Zen Hei"/>
        <family val="2"/>
      </rPr>
      <t xml:space="preserve">연 </t>
    </r>
    <r>
      <rPr>
        <sz val="10"/>
        <color rgb="FF0000FF"/>
        <rFont val="Arial"/>
        <family val="0"/>
        <charset val="1"/>
      </rPr>
      <t xml:space="preserve">2</t>
    </r>
    <r>
      <rPr>
        <sz val="10"/>
        <color rgb="FF0000FF"/>
        <rFont val="WenQuanYi Zen Hei"/>
        <family val="2"/>
      </rPr>
      <t xml:space="preserve">회</t>
    </r>
    <r>
      <rPr>
        <sz val="10"/>
        <color rgb="FF0000FF"/>
        <rFont val="Arial"/>
        <family val="0"/>
        <charset val="1"/>
      </rPr>
      <t xml:space="preserve">(4·10</t>
    </r>
    <r>
      <rPr>
        <sz val="10"/>
        <color rgb="FF0000FF"/>
        <rFont val="WenQuanYi Zen Hei"/>
        <family val="2"/>
      </rPr>
      <t xml:space="preserve">월</t>
    </r>
    <r>
      <rPr>
        <sz val="10"/>
        <color rgb="FF0000FF"/>
        <rFont val="Arial"/>
        <family val="0"/>
        <charset val="1"/>
      </rPr>
      <t xml:space="preserve">), </t>
    </r>
    <r>
      <rPr>
        <sz val="10"/>
        <color rgb="FF0000FF"/>
        <rFont val="WenQuanYi Zen Hei"/>
        <family val="2"/>
      </rPr>
      <t xml:space="preserve">개인 </t>
    </r>
    <r>
      <rPr>
        <sz val="10"/>
        <color rgb="FF0000FF"/>
        <rFont val="Arial"/>
        <family val="0"/>
        <charset val="1"/>
      </rPr>
      <t xml:space="preserve">250→650</t>
    </r>
    <r>
      <rPr>
        <sz val="10"/>
        <color rgb="FF0000FF"/>
        <rFont val="WenQuanYi Zen Hei"/>
        <family val="2"/>
      </rPr>
      <t xml:space="preserve">명</t>
    </r>
  </si>
  <si>
    <t xml:space="preserve">+20%</t>
  </si>
  <si>
    <t xml:space="preserve">-30%</t>
  </si>
  <si>
    <r>
      <rPr>
        <sz val="10"/>
        <color rgb="FF000000"/>
        <rFont val="WenQuanYi Zen Hei"/>
        <family val="2"/>
      </rPr>
      <t xml:space="preserve">상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하반기 공채 시즌 직전</t>
    </r>
  </si>
  <si>
    <t xml:space="preserve">원가</t>
  </si>
  <si>
    <r>
      <rPr>
        <sz val="10"/>
        <color rgb="FF000000"/>
        <rFont val="Arial"/>
        <family val="0"/>
        <charset val="1"/>
      </rPr>
      <t xml:space="preserve">LLM </t>
    </r>
    <r>
      <rPr>
        <sz val="10"/>
        <color rgb="FF000000"/>
        <rFont val="WenQuanYi Zen Hei"/>
        <family val="2"/>
      </rPr>
      <t xml:space="preserve">토큰비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유료 구독자</t>
    </r>
  </si>
  <si>
    <r>
      <rPr>
        <sz val="10"/>
        <color rgb="FF0000FF"/>
        <rFont val="Arial"/>
        <family val="0"/>
        <charset val="1"/>
      </rPr>
      <t xml:space="preserve">Pro 2,800</t>
    </r>
    <r>
      <rPr>
        <sz val="10"/>
        <color rgb="FF0000FF"/>
        <rFont val="WenQuanYi Zen Hei"/>
        <family val="2"/>
      </rPr>
      <t xml:space="preserve">원</t>
    </r>
    <r>
      <rPr>
        <sz val="10"/>
        <color rgb="FF0000FF"/>
        <rFont val="Arial"/>
        <family val="0"/>
        <charset val="1"/>
      </rPr>
      <t xml:space="preserve">, Max 7,000</t>
    </r>
    <r>
      <rPr>
        <sz val="10"/>
        <color rgb="FF0000FF"/>
        <rFont val="WenQuanYi Zen Hei"/>
        <family val="2"/>
      </rPr>
      <t xml:space="preserve">원</t>
    </r>
    <r>
      <rPr>
        <sz val="10"/>
        <color rgb="FF0000FF"/>
        <rFont val="Arial"/>
        <family val="0"/>
        <charset val="1"/>
      </rPr>
      <t xml:space="preserve">, </t>
    </r>
    <r>
      <rPr>
        <sz val="10"/>
        <color rgb="FF0000FF"/>
        <rFont val="WenQuanYi Zen Hei"/>
        <family val="2"/>
      </rPr>
      <t xml:space="preserve">무료 </t>
    </r>
    <r>
      <rPr>
        <sz val="10"/>
        <color rgb="FF0000FF"/>
        <rFont val="Arial"/>
        <family val="0"/>
        <charset val="1"/>
      </rPr>
      <t xml:space="preserve">MAU 150</t>
    </r>
    <r>
      <rPr>
        <sz val="10"/>
        <color rgb="FF0000FF"/>
        <rFont val="WenQuanYi Zen Hei"/>
        <family val="2"/>
      </rPr>
      <t xml:space="preserve">원</t>
    </r>
    <r>
      <rPr>
        <sz val="10"/>
        <color rgb="FF0000FF"/>
        <rFont val="Arial"/>
        <family val="0"/>
        <charset val="1"/>
      </rPr>
      <t xml:space="preserve">, 6</t>
    </r>
    <r>
      <rPr>
        <sz val="10"/>
        <color rgb="FF0000FF"/>
        <rFont val="WenQuanYi Zen Hei"/>
        <family val="2"/>
      </rPr>
      <t xml:space="preserve">개월마다 </t>
    </r>
    <r>
      <rPr>
        <sz val="10"/>
        <color rgb="FF0000FF"/>
        <rFont val="Arial"/>
        <family val="0"/>
        <charset val="1"/>
      </rPr>
      <t xml:space="preserve">-7%</t>
    </r>
  </si>
  <si>
    <t xml:space="preserve">-15%</t>
  </si>
  <si>
    <r>
      <rPr>
        <sz val="10"/>
        <color rgb="FF0000FF"/>
        <rFont val="Arial"/>
        <family val="0"/>
        <charset val="1"/>
      </rPr>
      <t xml:space="preserve">+30%(</t>
    </r>
    <r>
      <rPr>
        <sz val="10"/>
        <color rgb="FF0000FF"/>
        <rFont val="WenQuanYi Zen Hei"/>
        <family val="2"/>
      </rPr>
      <t xml:space="preserve">모델 업그레이드</t>
    </r>
    <r>
      <rPr>
        <sz val="10"/>
        <color rgb="FF0000FF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</si>
  <si>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원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월</t>
    </r>
  </si>
  <si>
    <t xml:space="preserve">모델 단가 하락 추세 반영</t>
  </si>
  <si>
    <r>
      <rPr>
        <sz val="10"/>
        <color rgb="FF000000"/>
        <rFont val="Arial"/>
        <family val="0"/>
        <charset val="1"/>
      </rPr>
      <t xml:space="preserve">PG </t>
    </r>
    <r>
      <rPr>
        <sz val="10"/>
        <color rgb="FF000000"/>
        <rFont val="WenQuanYi Zen Hei"/>
        <family val="2"/>
      </rPr>
      <t xml:space="preserve">수수료율</t>
    </r>
  </si>
  <si>
    <r>
      <rPr>
        <sz val="10"/>
        <color rgb="FF0000FF"/>
        <rFont val="WenQuanYi Zen Hei"/>
        <family val="2"/>
      </rPr>
      <t xml:space="preserve">카드 </t>
    </r>
    <r>
      <rPr>
        <sz val="10"/>
        <color rgb="FF0000FF"/>
        <rFont val="Arial"/>
        <family val="0"/>
        <charset val="1"/>
      </rPr>
      <t xml:space="preserve">3.3%, </t>
    </r>
    <r>
      <rPr>
        <sz val="10"/>
        <color rgb="FF0000FF"/>
        <rFont val="WenQuanYi Zen Hei"/>
        <family val="2"/>
      </rPr>
      <t xml:space="preserve">마켓 </t>
    </r>
    <r>
      <rPr>
        <sz val="10"/>
        <color rgb="FF0000FF"/>
        <rFont val="Arial"/>
        <family val="0"/>
        <charset val="1"/>
      </rPr>
      <t xml:space="preserve">3.0%</t>
    </r>
  </si>
  <si>
    <t xml:space="preserve">2.8%</t>
  </si>
  <si>
    <t xml:space="preserve">3.5%</t>
  </si>
  <si>
    <t xml:space="preserve">판관비</t>
  </si>
  <si>
    <t xml:space="preserve">인원 계획</t>
  </si>
  <si>
    <r>
      <rPr>
        <sz val="10"/>
        <color rgb="FF0000FF"/>
        <rFont val="Arial"/>
        <family val="0"/>
        <charset val="1"/>
      </rPr>
      <t xml:space="preserve">2026-07 6</t>
    </r>
    <r>
      <rPr>
        <sz val="10"/>
        <color rgb="FF0000FF"/>
        <rFont val="WenQuanYi Zen Hei"/>
        <family val="2"/>
      </rPr>
      <t xml:space="preserve">명 → </t>
    </r>
    <r>
      <rPr>
        <sz val="10"/>
        <color rgb="FF0000FF"/>
        <rFont val="Arial"/>
        <family val="0"/>
        <charset val="1"/>
      </rPr>
      <t xml:space="preserve">2027-09 9</t>
    </r>
    <r>
      <rPr>
        <sz val="10"/>
        <color rgb="FF0000FF"/>
        <rFont val="WenQuanYi Zen Hei"/>
        <family val="2"/>
      </rPr>
      <t xml:space="preserve">명</t>
    </r>
  </si>
  <si>
    <r>
      <rPr>
        <sz val="10"/>
        <color rgb="FF000000"/>
        <rFont val="Arial"/>
        <family val="0"/>
        <charset val="1"/>
      </rPr>
      <t xml:space="preserve">CAC(</t>
    </r>
    <r>
      <rPr>
        <sz val="10"/>
        <color rgb="FF000000"/>
        <rFont val="WenQuanYi Zen Hei"/>
        <family val="2"/>
      </rPr>
      <t xml:space="preserve">광고비</t>
    </r>
    <r>
      <rPr>
        <sz val="10"/>
        <color rgb="FF000000"/>
        <rFont val="Arial"/>
        <family val="0"/>
        <charset val="1"/>
      </rPr>
      <t xml:space="preserve">[a]/</t>
    </r>
    <r>
      <rPr>
        <sz val="10"/>
        <color rgb="FF000000"/>
        <rFont val="WenQuanYi Zen Hei"/>
        <family val="2"/>
      </rPr>
      <t xml:space="preserve">신규 유료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</si>
  <si>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FF"/>
        <rFont val="Arial"/>
        <family val="0"/>
        <charset val="1"/>
      </rPr>
      <t xml:space="preserve">2026 20,000</t>
    </r>
    <r>
      <rPr>
        <sz val="10"/>
        <color rgb="FF0000FF"/>
        <rFont val="WenQuanYi Zen Hei"/>
        <family val="2"/>
      </rPr>
      <t xml:space="preserve">원 → </t>
    </r>
    <r>
      <rPr>
        <sz val="10"/>
        <color rgb="FF0000FF"/>
        <rFont val="Arial"/>
        <family val="0"/>
        <charset val="1"/>
      </rPr>
      <t xml:space="preserve">2027 24,000</t>
    </r>
    <r>
      <rPr>
        <sz val="10"/>
        <color rgb="FF0000FF"/>
        <rFont val="WenQuanYi Zen Hei"/>
        <family val="2"/>
      </rPr>
      <t xml:space="preserve">원 → </t>
    </r>
    <r>
      <rPr>
        <sz val="10"/>
        <color rgb="FF0000FF"/>
        <rFont val="Arial"/>
        <family val="0"/>
        <charset val="1"/>
      </rPr>
      <t xml:space="preserve">2028 26,000</t>
    </r>
    <r>
      <rPr>
        <sz val="10"/>
        <color rgb="FF0000FF"/>
        <rFont val="WenQuanYi Zen Hei"/>
        <family val="2"/>
      </rPr>
      <t xml:space="preserve">원</t>
    </r>
  </si>
  <si>
    <t xml:space="preserve">-20%</t>
  </si>
  <si>
    <t xml:space="preserve">+40%</t>
  </si>
  <si>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WenQuanYi Zen Hei"/>
        <family val="2"/>
      </rPr>
      <t xml:space="preserve">창업센터 </t>
    </r>
    <r>
      <rPr>
        <sz val="10"/>
        <color rgb="FF0000FF"/>
        <rFont val="Arial"/>
        <family val="0"/>
        <charset val="1"/>
      </rPr>
      <t xml:space="preserve">33</t>
    </r>
    <r>
      <rPr>
        <sz val="10"/>
        <color rgb="FF0000FF"/>
        <rFont val="WenQuanYi Zen Hei"/>
        <family val="2"/>
      </rPr>
      <t xml:space="preserve">만원 → </t>
    </r>
    <r>
      <rPr>
        <sz val="10"/>
        <color rgb="FF0000FF"/>
        <rFont val="Arial"/>
        <family val="0"/>
        <charset val="1"/>
      </rPr>
      <t xml:space="preserve">2027 </t>
    </r>
    <r>
      <rPr>
        <sz val="10"/>
        <color rgb="FF0000FF"/>
        <rFont val="WenQuanYi Zen Hei"/>
        <family val="2"/>
      </rPr>
      <t xml:space="preserve">사무실 </t>
    </r>
    <r>
      <rPr>
        <sz val="10"/>
        <color rgb="FF0000FF"/>
        <rFont val="Arial"/>
        <family val="0"/>
        <charset val="1"/>
      </rPr>
      <t xml:space="preserve">330</t>
    </r>
    <r>
      <rPr>
        <sz val="10"/>
        <color rgb="FF0000FF"/>
        <rFont val="WenQuanYi Zen Hei"/>
        <family val="2"/>
      </rPr>
      <t xml:space="preserve">만원</t>
    </r>
    <r>
      <rPr>
        <sz val="10"/>
        <color rgb="FF0000FF"/>
        <rFont val="Arial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보증금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WenQuanYi Zen Hei"/>
        <family val="2"/>
      </rPr>
      <t xml:space="preserve">천만원</t>
    </r>
    <r>
      <rPr>
        <sz val="10"/>
        <color rgb="FF0000FF"/>
        <rFont val="Arial"/>
        <family val="0"/>
        <charset val="1"/>
      </rPr>
      <t xml:space="preserve">)</t>
    </r>
  </si>
  <si>
    <t xml:space="preserve">영업외</t>
  </si>
  <si>
    <t xml:space="preserve">정부보조금</t>
  </si>
  <si>
    <r>
      <rPr>
        <sz val="10"/>
        <color rgb="FF0000FF"/>
        <rFont val="WenQuanYi Zen Hei"/>
        <family val="2"/>
      </rPr>
      <t xml:space="preserve">초기창업패키지 월 </t>
    </r>
    <r>
      <rPr>
        <sz val="10"/>
        <color rgb="FF0000FF"/>
        <rFont val="Arial"/>
        <family val="0"/>
        <charset val="1"/>
      </rPr>
      <t xml:space="preserve">700</t>
    </r>
    <r>
      <rPr>
        <sz val="10"/>
        <color rgb="FF0000FF"/>
        <rFont val="WenQuanYi Zen Hei"/>
        <family val="2"/>
      </rPr>
      <t xml:space="preserve">만원</t>
    </r>
    <r>
      <rPr>
        <sz val="10"/>
        <color rgb="FF0000FF"/>
        <rFont val="Arial"/>
        <family val="0"/>
        <charset val="1"/>
      </rPr>
      <t xml:space="preserve">(2026-05~11), TIPS R&amp;D </t>
    </r>
    <r>
      <rPr>
        <sz val="10"/>
        <color rgb="FF0000FF"/>
        <rFont val="WenQuanYi Zen Hei"/>
        <family val="2"/>
      </rPr>
      <t xml:space="preserve">월 </t>
    </r>
    <r>
      <rPr>
        <sz val="10"/>
        <color rgb="FF0000FF"/>
        <rFont val="Arial"/>
        <family val="0"/>
        <charset val="1"/>
      </rPr>
      <t xml:space="preserve">1,600</t>
    </r>
    <r>
      <rPr>
        <sz val="10"/>
        <color rgb="FF0000FF"/>
        <rFont val="WenQuanYi Zen Hei"/>
        <family val="2"/>
      </rPr>
      <t xml:space="preserve">만원</t>
    </r>
    <r>
      <rPr>
        <sz val="10"/>
        <color rgb="FF0000FF"/>
        <rFont val="Arial"/>
        <family val="0"/>
        <charset val="1"/>
      </rPr>
      <t xml:space="preserve">(2026-11~)</t>
    </r>
  </si>
  <si>
    <r>
      <rPr>
        <sz val="10"/>
        <color rgb="FF0000FF"/>
        <rFont val="Arial"/>
        <family val="0"/>
        <charset val="1"/>
      </rPr>
      <t xml:space="preserve">TIPS </t>
    </r>
    <r>
      <rPr>
        <sz val="10"/>
        <color rgb="FF0000FF"/>
        <rFont val="WenQuanYi Zen Hei"/>
        <family val="2"/>
      </rPr>
      <t xml:space="preserve">미선정</t>
    </r>
  </si>
  <si>
    <r>
      <rPr>
        <sz val="10"/>
        <color rgb="FF000000"/>
        <rFont val="WenQuanYi Zen Hei"/>
        <family val="2"/>
      </rPr>
      <t xml:space="preserve">보조금 회계처리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비용 차감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WenQuanYi Zen Hei"/>
        <family val="2"/>
      </rPr>
      <t xml:space="preserve">수익</t>
    </r>
    <r>
      <rPr>
        <sz val="10"/>
        <color rgb="FF000000"/>
        <rFont val="Arial"/>
        <family val="0"/>
        <charset val="1"/>
      </rPr>
      <t xml:space="preserve">) </t>
    </r>
    <r>
      <rPr>
        <sz val="10"/>
        <color rgb="FF000000"/>
        <rFont val="WenQuanYi Zen Hei"/>
        <family val="2"/>
      </rPr>
      <t xml:space="preserve">세무사 확인 필요</t>
    </r>
  </si>
  <si>
    <t xml:space="preserve">재무</t>
  </si>
  <si>
    <t xml:space="preserve">자금조달</t>
  </si>
  <si>
    <r>
      <rPr>
        <sz val="10"/>
        <color rgb="FF0000FF"/>
        <rFont val="Arial"/>
        <family val="0"/>
        <charset val="1"/>
      </rPr>
      <t xml:space="preserve">2025-11 </t>
    </r>
    <r>
      <rPr>
        <sz val="10"/>
        <color rgb="FF0000FF"/>
        <rFont val="WenQuanYi Zen Hei"/>
        <family val="2"/>
      </rPr>
      <t xml:space="preserve">정책자금 </t>
    </r>
    <r>
      <rPr>
        <sz val="10"/>
        <color rgb="FF0000FF"/>
        <rFont val="Arial"/>
        <family val="0"/>
        <charset val="1"/>
      </rPr>
      <t xml:space="preserve">2</t>
    </r>
    <r>
      <rPr>
        <sz val="10"/>
        <color rgb="FF0000FF"/>
        <rFont val="WenQuanYi Zen Hei"/>
        <family val="2"/>
      </rPr>
      <t xml:space="preserve">억</t>
    </r>
    <r>
      <rPr>
        <sz val="10"/>
        <color rgb="FF0000FF"/>
        <rFont val="Arial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연 </t>
    </r>
    <r>
      <rPr>
        <sz val="10"/>
        <color rgb="FF0000FF"/>
        <rFont val="Arial"/>
        <family val="0"/>
        <charset val="1"/>
      </rPr>
      <t xml:space="preserve">2.5%, </t>
    </r>
    <r>
      <rPr>
        <sz val="10"/>
        <color rgb="FF0000FF"/>
        <rFont val="WenQuanYi Zen Hei"/>
        <family val="2"/>
      </rPr>
      <t xml:space="preserve">거치 </t>
    </r>
    <r>
      <rPr>
        <sz val="10"/>
        <color rgb="FF0000FF"/>
        <rFont val="Arial"/>
        <family val="0"/>
        <charset val="1"/>
      </rPr>
      <t xml:space="preserve">2</t>
    </r>
    <r>
      <rPr>
        <sz val="10"/>
        <color rgb="FF0000FF"/>
        <rFont val="WenQuanYi Zen Hei"/>
        <family val="2"/>
      </rPr>
      <t xml:space="preserve">년</t>
    </r>
    <r>
      <rPr>
        <sz val="10"/>
        <color rgb="FF0000FF"/>
        <rFont val="Arial"/>
        <family val="0"/>
        <charset val="1"/>
      </rPr>
      <t xml:space="preserve">) / 2026-04 </t>
    </r>
    <r>
      <rPr>
        <sz val="10"/>
        <color rgb="FF0000FF"/>
        <rFont val="WenQuanYi Zen Hei"/>
        <family val="2"/>
      </rPr>
      <t xml:space="preserve">시드 </t>
    </r>
    <r>
      <rPr>
        <sz val="10"/>
        <color rgb="FF0000FF"/>
        <rFont val="Arial"/>
        <family val="0"/>
        <charset val="1"/>
      </rPr>
      <t xml:space="preserve">5</t>
    </r>
    <r>
      <rPr>
        <sz val="10"/>
        <color rgb="FF0000FF"/>
        <rFont val="WenQuanYi Zen Hei"/>
        <family val="2"/>
      </rPr>
      <t xml:space="preserve">억</t>
    </r>
  </si>
  <si>
    <r>
      <rPr>
        <sz val="10"/>
        <color rgb="FF0000FF"/>
        <rFont val="WenQuanYi Zen Hei"/>
        <family val="2"/>
      </rPr>
      <t xml:space="preserve">시드 </t>
    </r>
    <r>
      <rPr>
        <sz val="10"/>
        <color rgb="FF0000FF"/>
        <rFont val="Arial"/>
        <family val="0"/>
        <charset val="1"/>
      </rPr>
      <t xml:space="preserve">8</t>
    </r>
    <r>
      <rPr>
        <sz val="10"/>
        <color rgb="FF0000FF"/>
        <rFont val="WenQuanYi Zen Hei"/>
        <family val="2"/>
      </rPr>
      <t xml:space="preserve">억</t>
    </r>
  </si>
  <si>
    <r>
      <rPr>
        <sz val="10"/>
        <color rgb="FF0000FF"/>
        <rFont val="WenQuanYi Zen Hei"/>
        <family val="2"/>
      </rPr>
      <t xml:space="preserve">시드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WenQuanYi Zen Hei"/>
        <family val="2"/>
      </rPr>
      <t xml:space="preserve">억</t>
    </r>
    <r>
      <rPr>
        <sz val="10"/>
        <color rgb="FF0000FF"/>
        <rFont val="Arial"/>
        <family val="0"/>
        <charset val="1"/>
      </rPr>
      <t xml:space="preserve">·6</t>
    </r>
    <r>
      <rPr>
        <sz val="10"/>
        <color rgb="FF0000FF"/>
        <rFont val="WenQuanYi Zen Hei"/>
        <family val="2"/>
      </rPr>
      <t xml:space="preserve">개월 지연</t>
    </r>
  </si>
  <si>
    <t xml:space="preserve">운전자본</t>
  </si>
  <si>
    <r>
      <rPr>
        <sz val="10"/>
        <color rgb="FF000000"/>
        <rFont val="WenQuanYi Zen Hei"/>
        <family val="2"/>
      </rPr>
      <t xml:space="preserve">회수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지급 조건</t>
    </r>
  </si>
  <si>
    <r>
      <rPr>
        <sz val="10"/>
        <color rgb="FF0000FF"/>
        <rFont val="WenQuanYi Zen Hei"/>
        <family val="2"/>
      </rPr>
      <t xml:space="preserve">법인 </t>
    </r>
    <r>
      <rPr>
        <sz val="10"/>
        <color rgb="FF0000FF"/>
        <rFont val="Arial"/>
        <family val="0"/>
        <charset val="1"/>
      </rPr>
      <t xml:space="preserve">30</t>
    </r>
    <r>
      <rPr>
        <sz val="10"/>
        <color rgb="FF0000FF"/>
        <rFont val="WenQuanYi Zen Hei"/>
        <family val="2"/>
      </rPr>
      <t xml:space="preserve">일</t>
    </r>
    <r>
      <rPr>
        <sz val="10"/>
        <color rgb="FF0000FF"/>
        <rFont val="Arial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연간계약 </t>
    </r>
    <r>
      <rPr>
        <sz val="10"/>
        <color rgb="FF0000FF"/>
        <rFont val="Arial"/>
        <family val="0"/>
        <charset val="1"/>
      </rPr>
      <t xml:space="preserve">60</t>
    </r>
    <r>
      <rPr>
        <sz val="10"/>
        <color rgb="FF0000FF"/>
        <rFont val="WenQuanYi Zen Hei"/>
        <family val="2"/>
      </rPr>
      <t xml:space="preserve">일</t>
    </r>
    <r>
      <rPr>
        <sz val="10"/>
        <color rgb="FF0000FF"/>
        <rFont val="Arial"/>
        <family val="0"/>
        <charset val="1"/>
      </rPr>
      <t xml:space="preserve">), PG D+3~5, </t>
    </r>
    <r>
      <rPr>
        <sz val="10"/>
        <color rgb="FF0000FF"/>
        <rFont val="WenQuanYi Zen Hei"/>
        <family val="2"/>
      </rPr>
      <t xml:space="preserve">셀러 정산 익월 </t>
    </r>
    <r>
      <rPr>
        <sz val="10"/>
        <color rgb="FF0000FF"/>
        <rFont val="Arial"/>
        <family val="0"/>
        <charset val="1"/>
      </rPr>
      <t xml:space="preserve">10</t>
    </r>
    <r>
      <rPr>
        <sz val="10"/>
        <color rgb="FF0000FF"/>
        <rFont val="WenQuanYi Zen Hei"/>
        <family val="2"/>
      </rPr>
      <t xml:space="preserve">일</t>
    </r>
    <r>
      <rPr>
        <sz val="10"/>
        <color rgb="FF0000FF"/>
        <rFont val="Arial"/>
        <family val="0"/>
        <charset val="1"/>
      </rPr>
      <t xml:space="preserve">, </t>
    </r>
    <r>
      <rPr>
        <sz val="10"/>
        <color rgb="FF0000FF"/>
        <rFont val="WenQuanYi Zen Hei"/>
        <family val="2"/>
      </rPr>
      <t xml:space="preserve">부가세 분기 납부</t>
    </r>
  </si>
  <si>
    <r>
      <rPr>
        <sz val="10"/>
        <color rgb="FF0000FF"/>
        <rFont val="WenQuanYi Zen Hei"/>
        <family val="2"/>
      </rPr>
      <t xml:space="preserve">법인 회수 </t>
    </r>
    <r>
      <rPr>
        <sz val="10"/>
        <color rgb="FF0000FF"/>
        <rFont val="Arial"/>
        <family val="0"/>
        <charset val="1"/>
      </rPr>
      <t xml:space="preserve">90</t>
    </r>
    <r>
      <rPr>
        <sz val="10"/>
        <color rgb="FF0000FF"/>
        <rFont val="WenQuanYi Zen Hei"/>
        <family val="2"/>
      </rPr>
      <t xml:space="preserve">일</t>
    </r>
  </si>
  <si>
    <t xml:space="preserve">일</t>
  </si>
  <si>
    <t xml:space="preserve">추가 반영 데이터와 반영 이유</t>
  </si>
  <si>
    <t xml:space="preserve">#</t>
  </si>
  <si>
    <t xml:space="preserve">추가 항목</t>
  </si>
  <si>
    <t xml:space="preserve">반영 위치</t>
  </si>
  <si>
    <r>
      <rPr>
        <b val="true"/>
        <sz val="10"/>
        <color rgb="FFFFFFFF"/>
        <rFont val="WenQuanYi Zen Hei"/>
        <family val="2"/>
      </rPr>
      <t xml:space="preserve">왜 필요한가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두위드 사업 특성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</si>
  <si>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실무에서 준비할 데이터</t>
  </si>
  <si>
    <r>
      <rPr>
        <sz val="10"/>
        <color rgb="FF000000"/>
        <rFont val="WenQuanYi Zen Hei"/>
        <family val="2"/>
      </rPr>
      <t xml:space="preserve">부가세 예수금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대급금</t>
    </r>
  </si>
  <si>
    <r>
      <rPr>
        <sz val="10"/>
        <color rgb="FF000000"/>
        <rFont val="WenQuanYi Zen Hei"/>
        <family val="2"/>
      </rPr>
      <t xml:space="preserve">재무상태표 </t>
    </r>
    <r>
      <rPr>
        <sz val="10"/>
        <color rgb="FF000000"/>
        <rFont val="Arial"/>
        <family val="0"/>
        <charset val="1"/>
      </rPr>
      <t xml:space="preserve">23·11</t>
    </r>
    <r>
      <rPr>
        <sz val="10"/>
        <color rgb="FF000000"/>
        <rFont val="WenQuanYi Zen Hei"/>
        <family val="2"/>
      </rPr>
      <t xml:space="preserve">행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현금흐름표</t>
    </r>
  </si>
  <si>
    <r>
      <rPr>
        <sz val="10"/>
        <color rgb="FF000000"/>
        <rFont val="Arial"/>
        <family val="0"/>
        <charset val="1"/>
      </rPr>
      <t xml:space="preserve">B2C </t>
    </r>
    <r>
      <rPr>
        <sz val="10"/>
        <color rgb="FF000000"/>
        <rFont val="WenQuanYi Zen Hei"/>
        <family val="2"/>
      </rPr>
      <t xml:space="preserve">카드결제 매출은 결제 시점에 </t>
    </r>
    <r>
      <rPr>
        <sz val="10"/>
        <color rgb="FF000000"/>
        <rFont val="Arial"/>
        <family val="0"/>
        <charset val="1"/>
      </rPr>
      <t xml:space="preserve">VAT 10%</t>
    </r>
    <r>
      <rPr>
        <sz val="10"/>
        <color rgb="FF000000"/>
        <rFont val="WenQuanYi Zen Hei"/>
        <family val="2"/>
      </rPr>
      <t xml:space="preserve">를 함께 받고 분기마다 납부합니다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매출에 넣으면 안 되는 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맡아둔 돈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이라 현금이 실제보다 많아 보이는 착시가 생깁니다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전자책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전자출판물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은 면세일 수 있어 과세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면세 구분도 필요합니다</t>
    </r>
    <r>
      <rPr>
        <sz val="10"/>
        <color rgb="FF000000"/>
        <rFont val="Arial"/>
        <family val="0"/>
        <charset val="1"/>
      </rPr>
      <t xml:space="preserve">.</t>
    </r>
  </si>
  <si>
    <r>
      <rPr>
        <sz val="10"/>
        <color rgb="FF000000"/>
        <rFont val="WenQuanYi Zen Hei"/>
        <family val="2"/>
      </rPr>
      <t xml:space="preserve">홈택스 부가세 신고서</t>
    </r>
    <r>
      <rPr>
        <sz val="10"/>
        <color rgb="FF000000"/>
        <rFont val="Arial"/>
        <family val="0"/>
        <charset val="1"/>
      </rPr>
      <t xml:space="preserve">, PG </t>
    </r>
    <r>
      <rPr>
        <sz val="10"/>
        <color rgb="FF000000"/>
        <rFont val="WenQuanYi Zen Hei"/>
        <family val="2"/>
      </rPr>
      <t xml:space="preserve">매출전표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과세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면세 구분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</si>
  <si>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선수수익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연간구독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크레딧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</si>
  <si>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재무상태표 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WenQuanYi Zen Hei"/>
        <family val="2"/>
      </rPr>
      <t xml:space="preserve">행 </t>
    </r>
    <r>
      <rPr>
        <sz val="10"/>
        <color rgb="FF000000"/>
        <rFont val="Arial"/>
        <family val="0"/>
        <charset val="1"/>
      </rPr>
      <t xml:space="preserve">/ KPI </t>
    </r>
    <r>
      <rPr>
        <sz val="10"/>
        <color rgb="FF000000"/>
        <rFont val="WenQuanYi Zen Hei"/>
        <family val="2"/>
      </rPr>
      <t xml:space="preserve">연간구독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크레딧 결제액</t>
    </r>
  </si>
  <si>
    <r>
      <rPr>
        <sz val="10"/>
        <color rgb="FF000000"/>
        <rFont val="WenQuanYi Zen Hei"/>
        <family val="2"/>
      </rPr>
      <t xml:space="preserve">연간구독은 결제 즉시 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WenQuanYi Zen Hei"/>
        <family val="2"/>
      </rPr>
      <t xml:space="preserve">개월치 현금이 들어오지만 매출은 매달 </t>
    </r>
    <r>
      <rPr>
        <sz val="10"/>
        <color rgb="FF000000"/>
        <rFont val="Arial"/>
        <family val="0"/>
        <charset val="1"/>
      </rPr>
      <t xml:space="preserve">1/12</t>
    </r>
    <r>
      <rPr>
        <sz val="10"/>
        <color rgb="FF000000"/>
        <rFont val="WenQuanYi Zen Hei"/>
        <family val="2"/>
      </rPr>
      <t xml:space="preserve">씩 인식합니다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크레딧은 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사용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시점에 매출이 됩니다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결제액</t>
    </r>
    <r>
      <rPr>
        <sz val="10"/>
        <color rgb="FF000000"/>
        <rFont val="Arial"/>
        <family val="0"/>
        <charset val="1"/>
      </rPr>
      <t xml:space="preserve">(Billings)</t>
    </r>
    <r>
      <rPr>
        <sz val="10"/>
        <color rgb="FF000000"/>
        <rFont val="WenQuanYi Zen Hei"/>
        <family val="2"/>
      </rPr>
      <t xml:space="preserve">과 매출을 따로 봐야 성장률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현금흐름을 정확히 해석할 수 있습니다</t>
    </r>
    <r>
      <rPr>
        <sz val="10"/>
        <color rgb="FF000000"/>
        <rFont val="Arial"/>
        <family val="0"/>
        <charset val="1"/>
      </rPr>
      <t xml:space="preserve">.</t>
    </r>
  </si>
  <si>
    <r>
      <rPr>
        <sz val="10"/>
        <color rgb="FF000000"/>
        <rFont val="WenQuanYi Zen Hei"/>
        <family val="2"/>
      </rPr>
      <t xml:space="preserve">결제 </t>
    </r>
    <r>
      <rPr>
        <sz val="10"/>
        <color rgb="FF000000"/>
        <rFont val="Arial"/>
        <family val="0"/>
        <charset val="1"/>
      </rPr>
      <t xml:space="preserve">DB</t>
    </r>
    <r>
      <rPr>
        <sz val="10"/>
        <color rgb="FF000000"/>
        <rFont val="WenQuanYi Zen Hei"/>
        <family val="2"/>
      </rPr>
      <t xml:space="preserve">의 결제일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플랜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기간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크레딧 충전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사용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소멸 로그</t>
    </r>
  </si>
  <si>
    <t xml:space="preserve">셀러 정산 예수금</t>
  </si>
  <si>
    <r>
      <rPr>
        <sz val="10"/>
        <color rgb="FF000000"/>
        <rFont val="WenQuanYi Zen Hei"/>
        <family val="2"/>
      </rPr>
      <t xml:space="preserve">재무상태표 </t>
    </r>
    <r>
      <rPr>
        <sz val="10"/>
        <color rgb="FF000000"/>
        <rFont val="Arial"/>
        <family val="0"/>
        <charset val="1"/>
      </rPr>
      <t xml:space="preserve">22</t>
    </r>
    <r>
      <rPr>
        <sz val="10"/>
        <color rgb="FF000000"/>
        <rFont val="WenQuanYi Zen Hei"/>
        <family val="2"/>
      </rPr>
      <t xml:space="preserve">행 </t>
    </r>
    <r>
      <rPr>
        <sz val="10"/>
        <color rgb="FF000000"/>
        <rFont val="Arial"/>
        <family val="0"/>
        <charset val="1"/>
      </rPr>
      <t xml:space="preserve">/ KPI GMV·</t>
    </r>
    <r>
      <rPr>
        <sz val="10"/>
        <color rgb="FF000000"/>
        <rFont val="WenQuanYi Zen Hei"/>
        <family val="2"/>
      </rPr>
      <t xml:space="preserve">판매자 정산액</t>
    </r>
  </si>
  <si>
    <r>
      <rPr>
        <sz val="10"/>
        <color rgb="FF000000"/>
        <rFont val="WenQuanYi Zen Hei"/>
        <family val="2"/>
      </rPr>
      <t xml:space="preserve">마켓플레이스는 구매자가 낸 거래액</t>
    </r>
    <r>
      <rPr>
        <sz val="10"/>
        <color rgb="FF000000"/>
        <rFont val="Arial"/>
        <family val="0"/>
        <charset val="1"/>
      </rPr>
      <t xml:space="preserve">(GMV) </t>
    </r>
    <r>
      <rPr>
        <sz val="10"/>
        <color rgb="FF000000"/>
        <rFont val="WenQuanYi Zen Hei"/>
        <family val="2"/>
      </rPr>
      <t xml:space="preserve">전체가 일단 회사 통장에 들어오지만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수수료를 뺀 나머지는 판매자에게 돌려줄 부채입니다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매출원가의 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제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자 판매자 정산대금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을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원으로 두고 순액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수수료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으로 매출을 잡는 이유이며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개인셀러 </t>
    </r>
    <r>
      <rPr>
        <sz val="10"/>
        <color rgb="FF000000"/>
        <rFont val="Arial"/>
        <family val="0"/>
        <charset val="1"/>
      </rPr>
      <t xml:space="preserve">3.3% </t>
    </r>
    <r>
      <rPr>
        <sz val="10"/>
        <color rgb="FF000000"/>
        <rFont val="WenQuanYi Zen Hei"/>
        <family val="2"/>
      </rPr>
      <t xml:space="preserve">원천징수 의무도 함께 관리해야 합니다</t>
    </r>
    <r>
      <rPr>
        <sz val="10"/>
        <color rgb="FF000000"/>
        <rFont val="Arial"/>
        <family val="0"/>
        <charset val="1"/>
      </rPr>
      <t xml:space="preserve">.</t>
    </r>
  </si>
  <si>
    <r>
      <rPr>
        <sz val="10"/>
        <color rgb="FF000000"/>
        <rFont val="WenQuanYi Zen Hei"/>
        <family val="2"/>
      </rPr>
      <t xml:space="preserve">마켓 주문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정산 내역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원천세 신고 내역</t>
    </r>
  </si>
  <si>
    <r>
      <rPr>
        <sz val="10"/>
        <color rgb="FF000000"/>
        <rFont val="Arial"/>
        <family val="0"/>
        <charset val="1"/>
      </rPr>
      <t xml:space="preserve">PG </t>
    </r>
    <r>
      <rPr>
        <sz val="10"/>
        <color rgb="FF000000"/>
        <rFont val="WenQuanYi Zen Hei"/>
        <family val="2"/>
      </rPr>
      <t xml:space="preserve">미수금</t>
    </r>
  </si>
  <si>
    <r>
      <rPr>
        <sz val="10"/>
        <color rgb="FF000000"/>
        <rFont val="WenQuanYi Zen Hei"/>
        <family val="2"/>
      </rPr>
      <t xml:space="preserve">재무상태표 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WenQuanYi Zen Hei"/>
        <family val="2"/>
      </rPr>
      <t xml:space="preserve">행</t>
    </r>
  </si>
  <si>
    <r>
      <rPr>
        <sz val="10"/>
        <color rgb="FF000000"/>
        <rFont val="WenQuanYi Zen Hei"/>
        <family val="2"/>
      </rPr>
      <t xml:space="preserve">카드 결제액은 </t>
    </r>
    <r>
      <rPr>
        <sz val="10"/>
        <color rgb="FF000000"/>
        <rFont val="Arial"/>
        <family val="0"/>
        <charset val="1"/>
      </rPr>
      <t xml:space="preserve">PG</t>
    </r>
    <r>
      <rPr>
        <sz val="10"/>
        <color rgb="FF000000"/>
        <rFont val="WenQuanYi Zen Hei"/>
        <family val="2"/>
      </rPr>
      <t xml:space="preserve">사가 수수료를 떼고 </t>
    </r>
    <r>
      <rPr>
        <sz val="10"/>
        <color rgb="FF000000"/>
        <rFont val="Arial"/>
        <family val="0"/>
        <charset val="1"/>
      </rPr>
      <t xml:space="preserve">D+3~5</t>
    </r>
    <r>
      <rPr>
        <sz val="10"/>
        <color rgb="FF000000"/>
        <rFont val="WenQuanYi Zen Hei"/>
        <family val="2"/>
      </rPr>
      <t xml:space="preserve">일 뒤 입금합니다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월말 현금이 손익보다 적게 보이는 원인입니다</t>
    </r>
    <r>
      <rPr>
        <sz val="10"/>
        <color rgb="FF000000"/>
        <rFont val="Arial"/>
        <family val="0"/>
        <charset val="1"/>
      </rPr>
      <t xml:space="preserve">.</t>
    </r>
  </si>
  <si>
    <r>
      <rPr>
        <sz val="10"/>
        <color rgb="FF000000"/>
        <rFont val="Arial"/>
        <family val="0"/>
        <charset val="1"/>
      </rPr>
      <t xml:space="preserve">PG </t>
    </r>
    <r>
      <rPr>
        <sz val="10"/>
        <color rgb="FF000000"/>
        <rFont val="WenQuanYi Zen Hei"/>
        <family val="2"/>
      </rPr>
      <t xml:space="preserve">정산내역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정산일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수수료</t>
    </r>
    <r>
      <rPr>
        <sz val="10"/>
        <color rgb="FF000000"/>
        <rFont val="Arial"/>
        <family val="0"/>
        <charset val="1"/>
      </rPr>
      <t xml:space="preserve">)</t>
    </r>
  </si>
  <si>
    <t xml:space="preserve">법인 매출채권</t>
  </si>
  <si>
    <r>
      <rPr>
        <sz val="10"/>
        <color rgb="FF000000"/>
        <rFont val="WenQuanYi Zen Hei"/>
        <family val="2"/>
      </rPr>
      <t xml:space="preserve">재무상태표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WenQuanYi Zen Hei"/>
        <family val="2"/>
      </rPr>
      <t xml:space="preserve">행 </t>
    </r>
    <r>
      <rPr>
        <sz val="10"/>
        <color rgb="FF000000"/>
        <rFont val="Arial"/>
        <family val="0"/>
        <charset val="1"/>
      </rPr>
      <t xml:space="preserve">/ KPI </t>
    </r>
    <r>
      <rPr>
        <sz val="10"/>
        <color rgb="FF000000"/>
        <rFont val="WenQuanYi Zen Hei"/>
        <family val="2"/>
      </rPr>
      <t xml:space="preserve">법인 좌석</t>
    </r>
  </si>
  <si>
    <r>
      <rPr>
        <sz val="10"/>
        <color rgb="FF000000"/>
        <rFont val="WenQuanYi Zen Hei"/>
        <family val="2"/>
      </rPr>
      <t xml:space="preserve">대학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기관 계약은 세금계산서 발행 후 </t>
    </r>
    <r>
      <rPr>
        <sz val="10"/>
        <color rgb="FF000000"/>
        <rFont val="Arial"/>
        <family val="0"/>
        <charset val="1"/>
      </rPr>
      <t xml:space="preserve">30~60</t>
    </r>
    <r>
      <rPr>
        <sz val="10"/>
        <color rgb="FF000000"/>
        <rFont val="WenQuanYi Zen Hei"/>
        <family val="2"/>
      </rPr>
      <t xml:space="preserve">일 뒤 입금되어 </t>
    </r>
    <r>
      <rPr>
        <sz val="10"/>
        <color rgb="FF000000"/>
        <rFont val="Arial"/>
        <family val="0"/>
        <charset val="1"/>
      </rPr>
      <t xml:space="preserve">DSO(</t>
    </r>
    <r>
      <rPr>
        <sz val="10"/>
        <color rgb="FF000000"/>
        <rFont val="WenQuanYi Zen Hei"/>
        <family val="2"/>
      </rPr>
      <t xml:space="preserve">매출채권 회수기간</t>
    </r>
    <r>
      <rPr>
        <sz val="10"/>
        <color rgb="FF000000"/>
        <rFont val="Arial"/>
        <family val="0"/>
        <charset val="1"/>
      </rPr>
      <t xml:space="preserve">) </t>
    </r>
    <r>
      <rPr>
        <sz val="10"/>
        <color rgb="FF000000"/>
        <rFont val="WenQuanYi Zen Hei"/>
        <family val="2"/>
      </rPr>
      <t xml:space="preserve">관리 대상입니다</t>
    </r>
    <r>
      <rPr>
        <sz val="10"/>
        <color rgb="FF000000"/>
        <rFont val="Arial"/>
        <family val="0"/>
        <charset val="1"/>
      </rPr>
      <t xml:space="preserve">. 2</t>
    </r>
    <r>
      <rPr>
        <sz val="10"/>
        <color rgb="FF000000"/>
        <rFont val="WenQuanYi Zen Hei"/>
        <family val="2"/>
      </rPr>
      <t xml:space="preserve">회차 세션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운전자본 분석의 핵심 데이터입니다</t>
    </r>
    <r>
      <rPr>
        <sz val="10"/>
        <color rgb="FF000000"/>
        <rFont val="Arial"/>
        <family val="0"/>
        <charset val="1"/>
      </rPr>
      <t xml:space="preserve">.</t>
    </r>
  </si>
  <si>
    <r>
      <rPr>
        <sz val="10"/>
        <color rgb="FF000000"/>
        <rFont val="WenQuanYi Zen Hei"/>
        <family val="2"/>
      </rPr>
      <t xml:space="preserve">세금계산서 발행내역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입금 내역</t>
    </r>
  </si>
  <si>
    <r>
      <rPr>
        <sz val="10"/>
        <color rgb="FF000000"/>
        <rFont val="WenQuanYi Zen Hei"/>
        <family val="2"/>
      </rPr>
      <t xml:space="preserve">구독자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해지</t>
    </r>
    <r>
      <rPr>
        <sz val="10"/>
        <color rgb="FF000000"/>
        <rFont val="Arial"/>
        <family val="0"/>
        <charset val="1"/>
      </rPr>
      <t xml:space="preserve">·ARPPU·MRR/ARR</t>
    </r>
  </si>
  <si>
    <r>
      <rPr>
        <sz val="10"/>
        <color rgb="FF000000"/>
        <rFont val="Arial"/>
        <family val="0"/>
        <charset val="1"/>
      </rPr>
      <t xml:space="preserve">KPI [a] </t>
    </r>
    <r>
      <rPr>
        <sz val="10"/>
        <color rgb="FF000000"/>
        <rFont val="WenQuanYi Zen Hei"/>
        <family val="2"/>
      </rPr>
      <t xml:space="preserve">섹션</t>
    </r>
  </si>
  <si>
    <r>
      <rPr>
        <sz val="10"/>
        <color rgb="FF000000"/>
        <rFont val="WenQuanYi Zen Hei"/>
        <family val="2"/>
      </rPr>
      <t xml:space="preserve">구독 매출은 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구독자 수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가격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으로 분해해야 성장 원인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신규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WenQuanYi Zen Hei"/>
        <family val="2"/>
      </rPr>
      <t xml:space="preserve">해지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WenQuanYi Zen Hei"/>
        <family val="2"/>
      </rPr>
      <t xml:space="preserve">가격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을 설명할 수 있습니다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취업준비 서비스는 취업에 성공하면 해지하는 구조라 해지율과 계절성이 일반 </t>
    </r>
    <r>
      <rPr>
        <sz val="10"/>
        <color rgb="FF000000"/>
        <rFont val="Arial"/>
        <family val="0"/>
        <charset val="1"/>
      </rPr>
      <t xml:space="preserve">SaaS</t>
    </r>
    <r>
      <rPr>
        <sz val="10"/>
        <color rgb="FF000000"/>
        <rFont val="WenQuanYi Zen Hei"/>
        <family val="2"/>
      </rPr>
      <t xml:space="preserve">보다 큽니다</t>
    </r>
    <r>
      <rPr>
        <sz val="10"/>
        <color rgb="FF000000"/>
        <rFont val="Arial"/>
        <family val="0"/>
        <charset val="1"/>
      </rPr>
      <t xml:space="preserve">.</t>
    </r>
  </si>
  <si>
    <r>
      <rPr>
        <sz val="10"/>
        <color rgb="FF000000"/>
        <rFont val="WenQuanYi Zen Hei"/>
        <family val="2"/>
      </rPr>
      <t xml:space="preserve">결제 </t>
    </r>
    <r>
      <rPr>
        <sz val="10"/>
        <color rgb="FF000000"/>
        <rFont val="Arial"/>
        <family val="0"/>
        <charset val="1"/>
      </rPr>
      <t xml:space="preserve">DB(</t>
    </r>
    <r>
      <rPr>
        <sz val="10"/>
        <color rgb="FF000000"/>
        <rFont val="WenQuanYi Zen Hei"/>
        <family val="2"/>
      </rPr>
      <t xml:space="preserve">월말 활성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신규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해지</t>
    </r>
    <r>
      <rPr>
        <sz val="10"/>
        <color rgb="FF000000"/>
        <rFont val="Arial"/>
        <family val="0"/>
        <charset val="1"/>
      </rPr>
      <t xml:space="preserve">), </t>
    </r>
    <r>
      <rPr>
        <sz val="10"/>
        <color rgb="FF000000"/>
        <rFont val="WenQuanYi Zen Hei"/>
        <family val="2"/>
      </rPr>
      <t xml:space="preserve">플랜별 가격</t>
    </r>
  </si>
  <si>
    <r>
      <rPr>
        <sz val="10"/>
        <color rgb="FF000000"/>
        <rFont val="Arial"/>
        <family val="0"/>
        <charset val="1"/>
      </rPr>
      <t xml:space="preserve">LLM </t>
    </r>
    <r>
      <rPr>
        <sz val="10"/>
        <color rgb="FF000000"/>
        <rFont val="WenQuanYi Zen Hei"/>
        <family val="2"/>
      </rPr>
      <t xml:space="preserve">토큰비용률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무료 </t>
    </r>
    <r>
      <rPr>
        <sz val="10"/>
        <color rgb="FF000000"/>
        <rFont val="Arial"/>
        <family val="0"/>
        <charset val="1"/>
      </rPr>
      <t xml:space="preserve">MAU</t>
    </r>
  </si>
  <si>
    <r>
      <rPr>
        <sz val="10"/>
        <color rgb="FF000000"/>
        <rFont val="Arial"/>
        <family val="0"/>
        <charset val="1"/>
      </rPr>
      <t xml:space="preserve">KPI / </t>
    </r>
    <r>
      <rPr>
        <sz val="10"/>
        <color rgb="FF000000"/>
        <rFont val="WenQuanYi Zen Hei"/>
        <family val="2"/>
      </rPr>
      <t xml:space="preserve">매출원가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WenQuanYi Zen Hei"/>
        <family val="2"/>
      </rPr>
      <t xml:space="preserve">행</t>
    </r>
  </si>
  <si>
    <r>
      <rPr>
        <sz val="10"/>
        <color rgb="FF000000"/>
        <rFont val="Arial"/>
        <family val="0"/>
        <charset val="1"/>
      </rPr>
      <t xml:space="preserve">AI SaaS</t>
    </r>
    <r>
      <rPr>
        <sz val="10"/>
        <color rgb="FF000000"/>
        <rFont val="WenQuanYi Zen Hei"/>
        <family val="2"/>
      </rPr>
      <t xml:space="preserve">의 매출총이익률은 </t>
    </r>
    <r>
      <rPr>
        <sz val="10"/>
        <color rgb="FF000000"/>
        <rFont val="Arial"/>
        <family val="0"/>
        <charset val="1"/>
      </rPr>
      <t xml:space="preserve">LLM </t>
    </r>
    <r>
      <rPr>
        <sz val="10"/>
        <color rgb="FF000000"/>
        <rFont val="WenQuanYi Zen Hei"/>
        <family val="2"/>
      </rPr>
      <t xml:space="preserve">토큰비가 좌우합니다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무료 이용자도 비용을 만들기 때문에 유료 전환율과 함께 봐야 합니다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모델 단가 인하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업그레이드 시나리오의 민감도가 큽니다</t>
    </r>
    <r>
      <rPr>
        <sz val="10"/>
        <color rgb="FF000000"/>
        <rFont val="Arial"/>
        <family val="0"/>
        <charset val="1"/>
      </rPr>
      <t xml:space="preserve">.</t>
    </r>
  </si>
  <si>
    <r>
      <rPr>
        <sz val="10"/>
        <color rgb="FF000000"/>
        <rFont val="Arial"/>
        <family val="0"/>
        <charset val="1"/>
      </rPr>
      <t xml:space="preserve">OpenAI·Anthropic </t>
    </r>
    <r>
      <rPr>
        <sz val="10"/>
        <color rgb="FF000000"/>
        <rFont val="WenQuanYi Zen Hei"/>
        <family val="2"/>
      </rPr>
      <t xml:space="preserve">사용량 대시보드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월별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기능별</t>
    </r>
    <r>
      <rPr>
        <sz val="10"/>
        <color rgb="FF000000"/>
        <rFont val="Arial"/>
        <family val="0"/>
        <charset val="1"/>
      </rPr>
      <t xml:space="preserve">), </t>
    </r>
    <r>
      <rPr>
        <sz val="10"/>
        <color rgb="FF000000"/>
        <rFont val="WenQuanYi Zen Hei"/>
        <family val="2"/>
      </rPr>
      <t xml:space="preserve">서비스 로그</t>
    </r>
  </si>
  <si>
    <r>
      <rPr>
        <sz val="10"/>
        <color rgb="FF000000"/>
        <rFont val="Arial"/>
        <family val="0"/>
        <charset val="1"/>
      </rPr>
      <t xml:space="preserve">CAC · </t>
    </r>
    <r>
      <rPr>
        <sz val="10"/>
        <color rgb="FF000000"/>
        <rFont val="WenQuanYi Zen Hei"/>
        <family val="2"/>
      </rPr>
      <t xml:space="preserve">사업부문별 광고비</t>
    </r>
  </si>
  <si>
    <r>
      <rPr>
        <sz val="10"/>
        <color rgb="FF000000"/>
        <rFont val="Arial"/>
        <family val="0"/>
        <charset val="1"/>
      </rPr>
      <t xml:space="preserve">KPI CAC / </t>
    </r>
    <r>
      <rPr>
        <sz val="10"/>
        <color rgb="FF000000"/>
        <rFont val="WenQuanYi Zen Hei"/>
        <family val="2"/>
      </rPr>
      <t xml:space="preserve">판관비 </t>
    </r>
    <r>
      <rPr>
        <sz val="10"/>
        <color rgb="FF000000"/>
        <rFont val="Arial"/>
        <family val="0"/>
        <charset val="1"/>
      </rPr>
      <t xml:space="preserve">16~19</t>
    </r>
    <r>
      <rPr>
        <sz val="10"/>
        <color rgb="FF000000"/>
        <rFont val="WenQuanYi Zen Hei"/>
        <family val="2"/>
      </rPr>
      <t xml:space="preserve">행</t>
    </r>
  </si>
  <si>
    <r>
      <rPr>
        <sz val="10"/>
        <color rgb="FF000000"/>
        <rFont val="WenQuanYi Zen Hei"/>
        <family val="2"/>
      </rPr>
      <t xml:space="preserve">광고선전비를 </t>
    </r>
    <r>
      <rPr>
        <sz val="10"/>
        <color rgb="FF000000"/>
        <rFont val="Arial"/>
        <family val="0"/>
        <charset val="1"/>
      </rPr>
      <t xml:space="preserve">a·b·c</t>
    </r>
    <r>
      <rPr>
        <sz val="10"/>
        <color rgb="FF000000"/>
        <rFont val="WenQuanYi Zen Hei"/>
        <family val="2"/>
      </rPr>
      <t xml:space="preserve">로 나눠 두었기 때문에 사업별 고객획득비용과 회수기간</t>
    </r>
    <r>
      <rPr>
        <sz val="10"/>
        <color rgb="FF000000"/>
        <rFont val="Arial"/>
        <family val="0"/>
        <charset val="1"/>
      </rPr>
      <t xml:space="preserve">(LTV/CAC)</t>
    </r>
    <r>
      <rPr>
        <sz val="10"/>
        <color rgb="FF000000"/>
        <rFont val="WenQuanYi Zen Hei"/>
        <family val="2"/>
      </rPr>
      <t xml:space="preserve">을 계산할 수 있습니다</t>
    </r>
    <r>
      <rPr>
        <sz val="10"/>
        <color rgb="FF000000"/>
        <rFont val="Arial"/>
        <family val="0"/>
        <charset val="1"/>
      </rPr>
      <t xml:space="preserve">.</t>
    </r>
  </si>
  <si>
    <r>
      <rPr>
        <sz val="10"/>
        <color rgb="FF000000"/>
        <rFont val="WenQuanYi Zen Hei"/>
        <family val="2"/>
      </rPr>
      <t xml:space="preserve">광고 플랫폼 캠페인별 비용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가입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결제 전환 데이터</t>
    </r>
  </si>
  <si>
    <t xml:space="preserve">정부보조금 의존도</t>
  </si>
  <si>
    <r>
      <rPr>
        <sz val="10"/>
        <color rgb="FF000000"/>
        <rFont val="WenQuanYi Zen Hei"/>
        <family val="2"/>
      </rPr>
      <t xml:space="preserve">손익계산서 </t>
    </r>
    <r>
      <rPr>
        <sz val="10"/>
        <color rgb="FF000000"/>
        <rFont val="Arial"/>
        <family val="0"/>
        <charset val="1"/>
      </rPr>
      <t xml:space="preserve">29</t>
    </r>
    <r>
      <rPr>
        <sz val="10"/>
        <color rgb="FF000000"/>
        <rFont val="WenQuanYi Zen Hei"/>
        <family val="2"/>
      </rPr>
      <t xml:space="preserve">행 </t>
    </r>
    <r>
      <rPr>
        <sz val="10"/>
        <color rgb="FF000000"/>
        <rFont val="Arial"/>
        <family val="0"/>
        <charset val="1"/>
      </rPr>
      <t xml:space="preserve">/ KPI</t>
    </r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</si>
  <si>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년 영업외수익</t>
    </r>
    <r>
      <rPr>
        <sz val="10"/>
        <color rgb="FF000000"/>
        <rFont val="Arial"/>
        <family val="0"/>
        <charset val="1"/>
      </rPr>
      <t xml:space="preserve">(23,703,137</t>
    </r>
    <r>
      <rPr>
        <sz val="10"/>
        <color rgb="FF000000"/>
        <rFont val="WenQuanYi Zen Hei"/>
        <family val="2"/>
      </rPr>
      <t xml:space="preserve">원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이 순손실을 절반으로 줄였습니다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보조금은 반복되지 않으므로 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보조금 제외 영업</t>
    </r>
    <r>
      <rPr>
        <sz val="10"/>
        <color rgb="FF000000"/>
        <rFont val="Arial"/>
        <family val="0"/>
        <charset val="1"/>
      </rPr>
      <t xml:space="preserve">CF'</t>
    </r>
    <r>
      <rPr>
        <sz val="10"/>
        <color rgb="FF000000"/>
        <rFont val="WenQuanYi Zen Hei"/>
        <family val="2"/>
      </rPr>
      <t xml:space="preserve">로 체력을 따로 봐야 합니다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일반기업회계기준상 비용 보전 목적 보조금은 관련 비용에서 차감하는 것이 원칙이라 표시 방법을 세무사와 확인해야 합니다</t>
    </r>
    <r>
      <rPr>
        <sz val="10"/>
        <color rgb="FF000000"/>
        <rFont val="Arial"/>
        <family val="0"/>
        <charset val="1"/>
      </rPr>
      <t xml:space="preserve">.</t>
    </r>
  </si>
  <si>
    <r>
      <rPr>
        <sz val="10"/>
        <color rgb="FF000000"/>
        <rFont val="WenQuanYi Zen Hei"/>
        <family val="2"/>
      </rPr>
      <t xml:space="preserve">협약서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보조금 집행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정산 내역</t>
    </r>
  </si>
  <si>
    <r>
      <rPr>
        <sz val="10"/>
        <color rgb="FF000000"/>
        <rFont val="WenQuanYi Zen Hei"/>
        <family val="2"/>
      </rPr>
      <t xml:space="preserve">런웨이 </t>
    </r>
    <r>
      <rPr>
        <sz val="10"/>
        <color rgb="FF000000"/>
        <rFont val="Arial"/>
        <family val="0"/>
        <charset val="1"/>
      </rPr>
      <t xml:space="preserve">· Net burn</t>
    </r>
  </si>
  <si>
    <r>
      <rPr>
        <sz val="10"/>
        <color rgb="FF000000"/>
        <rFont val="Arial"/>
        <family val="0"/>
        <charset val="1"/>
      </rPr>
      <t xml:space="preserve">KPI </t>
    </r>
    <r>
      <rPr>
        <sz val="10"/>
        <color rgb="FF000000"/>
        <rFont val="WenQuanYi Zen Hei"/>
        <family val="2"/>
      </rPr>
      <t xml:space="preserve">현금 섹션</t>
    </r>
  </si>
  <si>
    <r>
      <rPr>
        <sz val="10"/>
        <color rgb="FF000000"/>
        <rFont val="WenQuanYi Zen Hei"/>
        <family val="2"/>
      </rPr>
      <t xml:space="preserve">스타트업 의사결정의 핵심은 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현금이 몇 달 남았나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입니다</t>
    </r>
    <r>
      <rPr>
        <sz val="10"/>
        <color rgb="FF000000"/>
        <rFont val="Arial"/>
        <family val="0"/>
        <charset val="1"/>
      </rPr>
      <t xml:space="preserve">. 2</t>
    </r>
    <r>
      <rPr>
        <sz val="10"/>
        <color rgb="FF000000"/>
        <rFont val="WenQuanYi Zen Hei"/>
        <family val="2"/>
      </rPr>
      <t xml:space="preserve">회차 세션</t>
    </r>
    <r>
      <rPr>
        <sz val="10"/>
        <color rgb="FF000000"/>
        <rFont val="Arial"/>
        <family val="0"/>
        <charset val="1"/>
      </rPr>
      <t xml:space="preserve">2·4(</t>
    </r>
    <r>
      <rPr>
        <sz val="10"/>
        <color rgb="FF000000"/>
        <rFont val="WenQuanYi Zen Hei"/>
        <family val="2"/>
      </rPr>
      <t xml:space="preserve">런웨이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자금조달 시점</t>
    </r>
    <r>
      <rPr>
        <sz val="10"/>
        <color rgb="FF000000"/>
        <rFont val="Arial"/>
        <family val="0"/>
        <charset val="1"/>
      </rPr>
      <t xml:space="preserve">) </t>
    </r>
    <r>
      <rPr>
        <sz val="10"/>
        <color rgb="FF000000"/>
        <rFont val="WenQuanYi Zen Hei"/>
        <family val="2"/>
      </rPr>
      <t xml:space="preserve">프롬프트에 바로 쓸 수 있습니다</t>
    </r>
    <r>
      <rPr>
        <sz val="10"/>
        <color rgb="FF000000"/>
        <rFont val="Arial"/>
        <family val="0"/>
        <charset val="1"/>
      </rPr>
      <t xml:space="preserve">.</t>
    </r>
  </si>
  <si>
    <r>
      <rPr>
        <sz val="10"/>
        <color rgb="FF000000"/>
        <rFont val="WenQuanYi Zen Hei"/>
        <family val="2"/>
      </rPr>
      <t xml:space="preserve">통장 잔액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월별 입출금 합계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</si>
  <si>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계정 재분류</t>
    </r>
  </si>
  <si>
    <r>
      <rPr>
        <sz val="10"/>
        <color rgb="FF000000"/>
        <rFont val="WenQuanYi Zen Hei"/>
        <family val="2"/>
      </rPr>
      <t xml:space="preserve">매출원가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판관비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열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</si>
  <si>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신고서는 매출원가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원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지급수수료 </t>
    </r>
    <r>
      <rPr>
        <sz val="10"/>
        <color rgb="FF000000"/>
        <rFont val="Arial"/>
        <family val="0"/>
        <charset val="1"/>
      </rPr>
      <t xml:space="preserve">50,385,211</t>
    </r>
    <r>
      <rPr>
        <sz val="10"/>
        <color rgb="FF000000"/>
        <rFont val="WenQuanYi Zen Hei"/>
        <family val="2"/>
      </rPr>
      <t xml:space="preserve">원입니다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이 파일은 클라우드</t>
    </r>
    <r>
      <rPr>
        <sz val="10"/>
        <color rgb="FF000000"/>
        <rFont val="Arial"/>
        <family val="0"/>
        <charset val="1"/>
      </rPr>
      <t xml:space="preserve">·LLM·PG·</t>
    </r>
    <r>
      <rPr>
        <sz val="10"/>
        <color rgb="FF000000"/>
        <rFont val="WenQuanYi Zen Hei"/>
        <family val="2"/>
      </rPr>
      <t xml:space="preserve">행사비를 매출원가로 옮겨 매출총이익률을 계산할 수 있게 했습니다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합계는 원 단위까지 동일</t>
    </r>
    <r>
      <rPr>
        <sz val="10"/>
        <color rgb="FF000000"/>
        <rFont val="Arial"/>
        <family val="0"/>
        <charset val="1"/>
      </rPr>
      <t xml:space="preserve">). </t>
    </r>
    <r>
      <rPr>
        <sz val="10"/>
        <color rgb="FF000000"/>
        <rFont val="WenQuanYi Zen Hei"/>
        <family val="2"/>
      </rPr>
      <t xml:space="preserve">세무 신고 분류와 관리회계 분류를 함께 보는 연습입니다</t>
    </r>
    <r>
      <rPr>
        <sz val="10"/>
        <color rgb="FF000000"/>
        <rFont val="Arial"/>
        <family val="0"/>
        <charset val="1"/>
      </rPr>
      <t xml:space="preserve">.</t>
    </r>
  </si>
  <si>
    <r>
      <rPr>
        <sz val="10"/>
        <color rgb="FF000000"/>
        <rFont val="WenQuanYi Zen Hei"/>
        <family val="2"/>
      </rPr>
      <t xml:space="preserve">계정별원장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지급수수료</t>
    </r>
    <r>
      <rPr>
        <sz val="10"/>
        <color rgb="FF000000"/>
        <rFont val="Arial"/>
        <family val="0"/>
        <charset val="1"/>
      </rPr>
      <t xml:space="preserve">) </t>
    </r>
    <r>
      <rPr>
        <sz val="10"/>
        <color rgb="FF000000"/>
        <rFont val="WenQuanYi Zen Hei"/>
        <family val="2"/>
      </rPr>
      <t xml:space="preserve">거래처별 내역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</si>
  <si>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미지급법인세 </t>
    </r>
    <r>
      <rPr>
        <sz val="10"/>
        <color rgb="FF000000"/>
        <rFont val="Arial"/>
        <family val="0"/>
        <charset val="1"/>
      </rPr>
      <t xml:space="preserve">2,148,183</t>
    </r>
    <r>
      <rPr>
        <sz val="10"/>
        <color rgb="FF000000"/>
        <rFont val="WenQuanYi Zen Hei"/>
        <family val="2"/>
      </rPr>
      <t xml:space="preserve">원</t>
    </r>
  </si>
  <si>
    <r>
      <rPr>
        <sz val="10"/>
        <color rgb="FF000000"/>
        <rFont val="WenQuanYi Zen Hei"/>
        <family val="2"/>
      </rPr>
      <t xml:space="preserve">재무상태표 </t>
    </r>
    <r>
      <rPr>
        <sz val="10"/>
        <color rgb="FF000000"/>
        <rFont val="Arial"/>
        <family val="0"/>
        <charset val="1"/>
      </rPr>
      <t xml:space="preserve">26</t>
    </r>
    <r>
      <rPr>
        <sz val="10"/>
        <color rgb="FF000000"/>
        <rFont val="WenQuanYi Zen Hei"/>
        <family val="2"/>
      </rPr>
      <t xml:space="preserve">행</t>
    </r>
  </si>
  <si>
    <r>
      <rPr>
        <sz val="10"/>
        <color rgb="FF000000"/>
        <rFont val="WenQuanYi Zen Hei"/>
        <family val="2"/>
      </rPr>
      <t xml:space="preserve">당기순손실인데 미지급법인세가 남아 있습니다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이자소득 원천세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지방소득세 등 다른 성격일 수 있어 세무사 확인이 필요합니다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이 파일은 </t>
    </r>
    <r>
      <rPr>
        <sz val="10"/>
        <color rgb="FF000000"/>
        <rFont val="Arial"/>
        <family val="0"/>
        <charset val="1"/>
      </rPr>
      <t xml:space="preserve">2026-03</t>
    </r>
    <r>
      <rPr>
        <sz val="10"/>
        <color rgb="FF000000"/>
        <rFont val="WenQuanYi Zen Hei"/>
        <family val="2"/>
      </rPr>
      <t xml:space="preserve">에 납부한 것으로 가정했습니다</t>
    </r>
    <r>
      <rPr>
        <sz val="10"/>
        <color rgb="FF000000"/>
        <rFont val="Arial"/>
        <family val="0"/>
        <charset val="1"/>
      </rPr>
      <t xml:space="preserve">.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</si>
  <si>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법인세 신고서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세목별 납부내역</t>
    </r>
  </si>
  <si>
    <t xml:space="preserve">유동성 장기부채</t>
  </si>
  <si>
    <r>
      <rPr>
        <sz val="10"/>
        <color rgb="FF000000"/>
        <rFont val="WenQuanYi Zen Hei"/>
        <family val="2"/>
      </rPr>
      <t xml:space="preserve">재무상태표 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WenQuanYi Zen Hei"/>
        <family val="2"/>
      </rPr>
      <t xml:space="preserve">행</t>
    </r>
  </si>
  <si>
    <r>
      <rPr>
        <sz val="10"/>
        <color rgb="FF000000"/>
        <rFont val="WenQuanYi Zen Hei"/>
        <family val="2"/>
      </rPr>
      <t xml:space="preserve">정책자금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억은 </t>
    </r>
    <r>
      <rPr>
        <sz val="10"/>
        <color rgb="FF000000"/>
        <rFont val="Arial"/>
        <family val="0"/>
        <charset val="1"/>
      </rPr>
      <t xml:space="preserve">2027-11</t>
    </r>
    <r>
      <rPr>
        <sz val="10"/>
        <color rgb="FF000000"/>
        <rFont val="WenQuanYi Zen Hei"/>
        <family val="2"/>
      </rPr>
      <t xml:space="preserve">부터 상환이 시작되므로</t>
    </r>
    <r>
      <rPr>
        <sz val="10"/>
        <color rgb="FF000000"/>
        <rFont val="Arial"/>
        <family val="0"/>
        <charset val="1"/>
      </rPr>
      <t xml:space="preserve">, 2026-11</t>
    </r>
    <r>
      <rPr>
        <sz val="10"/>
        <color rgb="FF000000"/>
        <rFont val="WenQuanYi Zen Hei"/>
        <family val="2"/>
      </rPr>
      <t xml:space="preserve">부터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년 내 상환분을 유동부채로 분리하면 유동비율이 낮아집니다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이 파일은 단순화를 위해 장기차입금 한 줄로 두었습니다</t>
    </r>
    <r>
      <rPr>
        <sz val="10"/>
        <color rgb="FF000000"/>
        <rFont val="Arial"/>
        <family val="0"/>
        <charset val="1"/>
      </rPr>
      <t xml:space="preserve">.</t>
    </r>
  </si>
  <si>
    <r>
      <rPr>
        <sz val="10"/>
        <color rgb="FF000000"/>
        <rFont val="WenQuanYi Zen Hei"/>
        <family val="2"/>
      </rPr>
      <t xml:space="preserve">대출 약정서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거치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상환 조건</t>
    </r>
    <r>
      <rPr>
        <sz val="10"/>
        <color rgb="FF000000"/>
        <rFont val="Arial"/>
        <family val="0"/>
        <charset val="1"/>
      </rPr>
      <t xml:space="preserve">)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</si>
</sst>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\(#,##0\);\-"/>
    <numFmt numFmtId="166" formatCode="0.0%;\(0.0%\);\-"/>
    <numFmt numFmtId="167" formatCode="0.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WenQuanYi Zen Hei"/>
      <family val="2"/>
    </font>
    <font>
      <b val="true"/>
      <sz val="13"/>
      <name val="Arial"/>
      <family val="0"/>
      <charset val="1"/>
    </font>
    <font>
      <sz val="10"/>
      <color rgb="FF000000"/>
      <name val="WenQuanYi Zen Hei"/>
      <family val="2"/>
    </font>
    <font>
      <sz val="10"/>
      <color rgb="FF000000"/>
      <name val="Arial"/>
      <family val="0"/>
      <charset val="1"/>
    </font>
    <font>
      <b val="true"/>
      <sz val="10"/>
      <name val="WenQuanYi Zen Hei"/>
      <family val="2"/>
    </font>
    <font>
      <b val="true"/>
      <sz val="10"/>
      <name val="Arial"/>
      <family val="0"/>
      <charset val="1"/>
    </font>
    <font>
      <b val="true"/>
      <sz val="10"/>
      <color rgb="FFFFFFFF"/>
      <name val="WenQuanYi Zen Hei"/>
      <family val="2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name val="WenQuanYi Zen Hei"/>
      <family val="2"/>
    </font>
    <font>
      <sz val="10"/>
      <name val="Arial"/>
      <family val="2"/>
    </font>
    <font>
      <i val="true"/>
      <sz val="9"/>
      <color rgb="FF595959"/>
      <name val="WenQuanYi Zen Hei"/>
      <family val="2"/>
    </font>
    <font>
      <i val="true"/>
      <sz val="9"/>
      <color rgb="FF59595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WenQuanYi Zen Hei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D9D9"/>
        <bgColor rgb="FFDDEBF7"/>
      </patternFill>
    </fill>
    <fill>
      <patternFill patternType="solid">
        <fgColor rgb="FFDDEBF7"/>
        <bgColor rgb="FFE2EFDA"/>
      </patternFill>
    </fill>
    <fill>
      <patternFill patternType="solid">
        <fgColor rgb="FFFCE4D6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8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8"/>
  </cols>
  <sheetData>
    <row r="1" customFormat="false" ht="17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 t="s">
        <v>8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4" t="s">
        <v>9</v>
      </c>
    </row>
    <row r="13" customFormat="false" ht="15" hidden="false" customHeight="false" outlineLevel="0" collapsed="false">
      <c r="A13" s="5" t="s">
        <v>10</v>
      </c>
      <c r="B13" s="6" t="s">
        <v>11</v>
      </c>
      <c r="C13" s="5" t="s">
        <v>12</v>
      </c>
      <c r="D13" s="5" t="s">
        <v>13</v>
      </c>
    </row>
    <row r="14" customFormat="false" ht="15" hidden="false" customHeight="false" outlineLevel="0" collapsed="false">
      <c r="A14" s="2" t="s">
        <v>14</v>
      </c>
      <c r="B14" s="7" t="n">
        <v>37277876</v>
      </c>
      <c r="C14" s="8" t="n">
        <f aca="false">'손익계산서(P&amp;L)'!AP5</f>
        <v>37277876</v>
      </c>
      <c r="D14" s="9" t="n">
        <f aca="false">C14-B14</f>
        <v>0</v>
      </c>
    </row>
    <row r="15" customFormat="false" ht="15" hidden="false" customHeight="false" outlineLevel="0" collapsed="false">
      <c r="A15" s="2" t="s">
        <v>15</v>
      </c>
      <c r="B15" s="7" t="n">
        <v>83568716</v>
      </c>
      <c r="C15" s="8" t="n">
        <f aca="false">'손익계산서(P&amp;L)'!AP9+'손익계산서(P&amp;L)'!AP18</f>
        <v>83568716</v>
      </c>
      <c r="D15" s="9" t="n">
        <f aca="false">C15-B15</f>
        <v>0</v>
      </c>
    </row>
    <row r="16" customFormat="false" ht="15" hidden="false" customHeight="false" outlineLevel="0" collapsed="false">
      <c r="A16" s="2" t="s">
        <v>16</v>
      </c>
      <c r="B16" s="7" t="n">
        <v>-46290840</v>
      </c>
      <c r="C16" s="8" t="n">
        <f aca="false">'손익계산서(P&amp;L)'!AP24</f>
        <v>-46290840</v>
      </c>
      <c r="D16" s="9" t="n">
        <f aca="false">C16-B16</f>
        <v>0</v>
      </c>
    </row>
    <row r="17" customFormat="false" ht="15" hidden="false" customHeight="false" outlineLevel="0" collapsed="false">
      <c r="A17" s="2" t="s">
        <v>17</v>
      </c>
      <c r="B17" s="7" t="n">
        <v>23703137</v>
      </c>
      <c r="C17" s="8" t="n">
        <f aca="false">'손익계산서(P&amp;L)'!AP27</f>
        <v>23703137</v>
      </c>
      <c r="D17" s="9" t="n">
        <f aca="false">C17-B17</f>
        <v>0</v>
      </c>
    </row>
    <row r="18" customFormat="false" ht="15" hidden="false" customHeight="false" outlineLevel="0" collapsed="false">
      <c r="A18" s="2" t="s">
        <v>18</v>
      </c>
      <c r="B18" s="7" t="n">
        <v>438822</v>
      </c>
      <c r="C18" s="8" t="n">
        <f aca="false">'손익계산서(P&amp;L)'!AP30</f>
        <v>438822</v>
      </c>
      <c r="D18" s="9" t="n">
        <f aca="false">C18-B18</f>
        <v>0</v>
      </c>
    </row>
    <row r="19" customFormat="false" ht="15" hidden="false" customHeight="false" outlineLevel="0" collapsed="false">
      <c r="A19" s="2" t="s">
        <v>19</v>
      </c>
      <c r="B19" s="7" t="n">
        <v>-23026525</v>
      </c>
      <c r="C19" s="8" t="n">
        <f aca="false">'손익계산서(P&amp;L)'!AP35</f>
        <v>-23026525</v>
      </c>
      <c r="D19" s="9" t="n">
        <f aca="false">C19-B19</f>
        <v>0</v>
      </c>
    </row>
    <row r="20" customFormat="false" ht="15" hidden="false" customHeight="false" outlineLevel="0" collapsed="false">
      <c r="A20" s="2" t="s">
        <v>20</v>
      </c>
      <c r="B20" s="7" t="n">
        <v>198790542</v>
      </c>
      <c r="C20" s="8" t="n">
        <f aca="false">'재무상태표(BS)'!AP7</f>
        <v>198790542</v>
      </c>
      <c r="D20" s="9" t="n">
        <f aca="false">C20-B20</f>
        <v>0</v>
      </c>
    </row>
    <row r="21" customFormat="false" ht="15" hidden="false" customHeight="false" outlineLevel="0" collapsed="false">
      <c r="A21" s="2" t="s">
        <v>21</v>
      </c>
      <c r="B21" s="7" t="n">
        <v>199742022</v>
      </c>
      <c r="C21" s="8" t="n">
        <f aca="false">'재무상태표(BS)'!AP16</f>
        <v>199742022</v>
      </c>
      <c r="D21" s="9" t="n">
        <f aca="false">C21-B21</f>
        <v>0</v>
      </c>
    </row>
    <row r="22" customFormat="false" ht="15" hidden="false" customHeight="false" outlineLevel="0" collapsed="false">
      <c r="A22" s="2" t="s">
        <v>22</v>
      </c>
      <c r="B22" s="7" t="n">
        <v>212768547</v>
      </c>
      <c r="C22" s="8" t="n">
        <f aca="false">'재무상태표(BS)'!AP29</f>
        <v>212768547</v>
      </c>
      <c r="D22" s="9" t="n">
        <f aca="false">C22-B22</f>
        <v>0</v>
      </c>
    </row>
    <row r="23" customFormat="false" ht="15" hidden="false" customHeight="false" outlineLevel="0" collapsed="false">
      <c r="A23" s="2" t="s">
        <v>23</v>
      </c>
      <c r="B23" s="7" t="n">
        <v>-13026525</v>
      </c>
      <c r="C23" s="8" t="n">
        <f aca="false">'재무상태표(BS)'!AP34</f>
        <v>-13026525</v>
      </c>
      <c r="D23" s="9" t="n">
        <f aca="false">C23-B23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T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4"/>
    <col collapsed="false" customWidth="true" hidden="false" outlineLevel="0" max="3" min="3" style="0" width="30"/>
    <col collapsed="false" customWidth="true" hidden="false" outlineLevel="0" max="4" min="4" style="0" width="40"/>
    <col collapsed="false" customWidth="true" hidden="false" outlineLevel="0" max="5" min="5" style="0" width="26"/>
    <col collapsed="false" customWidth="true" hidden="false" outlineLevel="0" max="41" min="6" style="0" width="13"/>
    <col collapsed="false" customWidth="true" hidden="false" outlineLevel="0" max="45" min="42" style="0" width="16"/>
    <col collapsed="false" customWidth="true" hidden="false" outlineLevel="0" max="46" min="46" style="0" width="40"/>
  </cols>
  <sheetData>
    <row r="1" customFormat="false" ht="17.15" hidden="false" customHeight="false" outlineLevel="0" collapsed="false">
      <c r="A1" s="1" t="s">
        <v>24</v>
      </c>
    </row>
    <row r="2" customFormat="false" ht="15" hidden="false" customHeight="false" outlineLevel="0" collapsed="false">
      <c r="A2" s="10" t="s">
        <v>25</v>
      </c>
    </row>
    <row r="3" customFormat="false" ht="30" hidden="false" customHeight="true" outlineLevel="0" collapsed="false">
      <c r="A3" s="11" t="s">
        <v>26</v>
      </c>
      <c r="B3" s="11" t="s">
        <v>27</v>
      </c>
      <c r="C3" s="11" t="s">
        <v>28</v>
      </c>
      <c r="D3" s="11" t="s">
        <v>29</v>
      </c>
      <c r="E3" s="11" t="s">
        <v>30</v>
      </c>
      <c r="F3" s="12" t="s">
        <v>31</v>
      </c>
      <c r="G3" s="12" t="s">
        <v>32</v>
      </c>
      <c r="H3" s="12" t="s">
        <v>33</v>
      </c>
      <c r="I3" s="12" t="s">
        <v>34</v>
      </c>
      <c r="J3" s="12" t="s">
        <v>35</v>
      </c>
      <c r="K3" s="12" t="s">
        <v>36</v>
      </c>
      <c r="L3" s="12" t="s">
        <v>37</v>
      </c>
      <c r="M3" s="12" t="s">
        <v>38</v>
      </c>
      <c r="N3" s="12" t="s">
        <v>39</v>
      </c>
      <c r="O3" s="12" t="s">
        <v>40</v>
      </c>
      <c r="P3" s="12" t="s">
        <v>41</v>
      </c>
      <c r="Q3" s="12" t="s">
        <v>42</v>
      </c>
      <c r="R3" s="12" t="s">
        <v>43</v>
      </c>
      <c r="S3" s="12" t="s">
        <v>44</v>
      </c>
      <c r="T3" s="12" t="s">
        <v>45</v>
      </c>
      <c r="U3" s="12" t="s">
        <v>46</v>
      </c>
      <c r="V3" s="12" t="s">
        <v>47</v>
      </c>
      <c r="W3" s="12" t="s">
        <v>48</v>
      </c>
      <c r="X3" s="12" t="s">
        <v>49</v>
      </c>
      <c r="Y3" s="12" t="s">
        <v>50</v>
      </c>
      <c r="Z3" s="12" t="s">
        <v>51</v>
      </c>
      <c r="AA3" s="12" t="s">
        <v>52</v>
      </c>
      <c r="AB3" s="12" t="s">
        <v>53</v>
      </c>
      <c r="AC3" s="12" t="s">
        <v>54</v>
      </c>
      <c r="AD3" s="12" t="s">
        <v>55</v>
      </c>
      <c r="AE3" s="12" t="s">
        <v>56</v>
      </c>
      <c r="AF3" s="12" t="s">
        <v>57</v>
      </c>
      <c r="AG3" s="12" t="s">
        <v>58</v>
      </c>
      <c r="AH3" s="12" t="s">
        <v>59</v>
      </c>
      <c r="AI3" s="12" t="s">
        <v>60</v>
      </c>
      <c r="AJ3" s="12" t="s">
        <v>61</v>
      </c>
      <c r="AK3" s="12" t="s">
        <v>62</v>
      </c>
      <c r="AL3" s="12" t="s">
        <v>63</v>
      </c>
      <c r="AM3" s="12" t="s">
        <v>64</v>
      </c>
      <c r="AN3" s="12" t="s">
        <v>65</v>
      </c>
      <c r="AO3" s="12" t="s">
        <v>66</v>
      </c>
      <c r="AP3" s="12" t="s">
        <v>67</v>
      </c>
      <c r="AQ3" s="12" t="s">
        <v>68</v>
      </c>
      <c r="AR3" s="12" t="s">
        <v>69</v>
      </c>
      <c r="AS3" s="12" t="s">
        <v>70</v>
      </c>
      <c r="AT3" s="11" t="s">
        <v>71</v>
      </c>
    </row>
    <row r="4" customFormat="false" ht="15" hidden="false" customHeight="false" outlineLevel="0" collapsed="false">
      <c r="A4" s="10" t="s">
        <v>72</v>
      </c>
      <c r="F4" s="13" t="s">
        <v>73</v>
      </c>
      <c r="G4" s="13" t="s">
        <v>73</v>
      </c>
      <c r="H4" s="13" t="s">
        <v>73</v>
      </c>
      <c r="I4" s="13" t="s">
        <v>73</v>
      </c>
      <c r="J4" s="13" t="s">
        <v>73</v>
      </c>
      <c r="K4" s="13" t="s">
        <v>73</v>
      </c>
      <c r="L4" s="13" t="s">
        <v>73</v>
      </c>
      <c r="M4" s="13" t="s">
        <v>73</v>
      </c>
      <c r="N4" s="14" t="s">
        <v>74</v>
      </c>
      <c r="O4" s="14" t="s">
        <v>74</v>
      </c>
      <c r="P4" s="14" t="s">
        <v>74</v>
      </c>
      <c r="Q4" s="14" t="s">
        <v>74</v>
      </c>
      <c r="R4" s="14" t="s">
        <v>74</v>
      </c>
      <c r="S4" s="14" t="s">
        <v>74</v>
      </c>
      <c r="T4" s="14" t="s">
        <v>74</v>
      </c>
      <c r="U4" s="14" t="s">
        <v>74</v>
      </c>
      <c r="V4" s="14" t="s">
        <v>74</v>
      </c>
      <c r="W4" s="15" t="s">
        <v>74</v>
      </c>
      <c r="X4" s="15" t="s">
        <v>74</v>
      </c>
      <c r="Y4" s="15" t="s">
        <v>74</v>
      </c>
      <c r="Z4" s="15" t="s">
        <v>74</v>
      </c>
      <c r="AA4" s="15" t="s">
        <v>74</v>
      </c>
      <c r="AB4" s="15" t="s">
        <v>74</v>
      </c>
      <c r="AC4" s="15" t="s">
        <v>74</v>
      </c>
      <c r="AD4" s="15" t="s">
        <v>74</v>
      </c>
      <c r="AE4" s="15" t="s">
        <v>74</v>
      </c>
      <c r="AF4" s="15" t="s">
        <v>74</v>
      </c>
      <c r="AG4" s="15" t="s">
        <v>74</v>
      </c>
      <c r="AH4" s="15" t="s">
        <v>74</v>
      </c>
      <c r="AI4" s="15" t="s">
        <v>74</v>
      </c>
      <c r="AJ4" s="15" t="s">
        <v>74</v>
      </c>
      <c r="AK4" s="15" t="s">
        <v>74</v>
      </c>
      <c r="AL4" s="15" t="s">
        <v>74</v>
      </c>
      <c r="AM4" s="15" t="s">
        <v>74</v>
      </c>
      <c r="AN4" s="15" t="s">
        <v>74</v>
      </c>
      <c r="AO4" s="15" t="s">
        <v>74</v>
      </c>
      <c r="AP4" s="16" t="s">
        <v>75</v>
      </c>
      <c r="AQ4" s="16" t="s">
        <v>75</v>
      </c>
      <c r="AR4" s="16" t="s">
        <v>75</v>
      </c>
      <c r="AS4" s="16" t="s">
        <v>75</v>
      </c>
    </row>
    <row r="5" customFormat="false" ht="15" hidden="false" customHeight="false" outlineLevel="0" collapsed="false">
      <c r="A5" s="2" t="s">
        <v>14</v>
      </c>
      <c r="B5" s="17" t="s">
        <v>76</v>
      </c>
      <c r="C5" s="2" t="s">
        <v>77</v>
      </c>
      <c r="D5" s="2" t="s">
        <v>78</v>
      </c>
      <c r="E5" s="2" t="s">
        <v>79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810000</v>
      </c>
      <c r="K5" s="7" t="n">
        <v>1404000</v>
      </c>
      <c r="L5" s="7" t="n">
        <v>1782000</v>
      </c>
      <c r="M5" s="7" t="n">
        <v>2016000</v>
      </c>
      <c r="N5" s="7" t="n">
        <v>2430000</v>
      </c>
      <c r="O5" s="7" t="n">
        <v>3006000</v>
      </c>
      <c r="P5" s="7" t="n">
        <v>3852000</v>
      </c>
      <c r="Q5" s="7" t="n">
        <v>4500000</v>
      </c>
      <c r="R5" s="7" t="n">
        <v>4842000</v>
      </c>
      <c r="S5" s="7" t="n">
        <v>5094000</v>
      </c>
      <c r="T5" s="7" t="n">
        <v>5526000</v>
      </c>
      <c r="U5" s="7" t="n">
        <v>6426000</v>
      </c>
      <c r="V5" s="7" t="n">
        <v>7812000</v>
      </c>
      <c r="W5" s="7" t="n">
        <v>8694000</v>
      </c>
      <c r="X5" s="7" t="n">
        <v>9108000</v>
      </c>
      <c r="Y5" s="7" t="n">
        <v>9216000</v>
      </c>
      <c r="Z5" s="7" t="n">
        <v>10026000</v>
      </c>
      <c r="AA5" s="7" t="n">
        <v>11250000</v>
      </c>
      <c r="AB5" s="7" t="n">
        <v>13086000</v>
      </c>
      <c r="AC5" s="7" t="n">
        <v>14328000</v>
      </c>
      <c r="AD5" s="7" t="n">
        <v>14778000</v>
      </c>
      <c r="AE5" s="7" t="n">
        <v>14994000</v>
      </c>
      <c r="AF5" s="7" t="n">
        <v>15498000</v>
      </c>
      <c r="AG5" s="7" t="n">
        <v>16812000</v>
      </c>
      <c r="AH5" s="7" t="n">
        <v>18864000</v>
      </c>
      <c r="AI5" s="7" t="n">
        <v>19962000</v>
      </c>
      <c r="AJ5" s="7" t="n">
        <v>20160000</v>
      </c>
      <c r="AK5" s="7" t="n">
        <v>19818000</v>
      </c>
      <c r="AL5" s="7" t="n">
        <v>20196000</v>
      </c>
      <c r="AM5" s="7" t="n">
        <v>21186000</v>
      </c>
      <c r="AN5" s="7" t="n">
        <v>23112000</v>
      </c>
      <c r="AO5" s="7" t="n">
        <v>24228000</v>
      </c>
      <c r="AP5" s="9" t="n">
        <f aca="false">SUM(F5:M5)</f>
        <v>6012000</v>
      </c>
      <c r="AQ5" s="9" t="n">
        <f aca="false">SUM(N5:Y5)</f>
        <v>70506000</v>
      </c>
      <c r="AR5" s="9" t="n">
        <f aca="false">SUM(Z5:AK5)</f>
        <v>189576000</v>
      </c>
      <c r="AS5" s="9" t="n">
        <f aca="false">SUM(AL5:AO5)</f>
        <v>88722000</v>
      </c>
      <c r="AT5" s="2" t="s">
        <v>80</v>
      </c>
    </row>
    <row r="6" customFormat="false" ht="15" hidden="false" customHeight="false" outlineLevel="0" collapsed="false">
      <c r="A6" s="2" t="s">
        <v>14</v>
      </c>
      <c r="B6" s="17" t="s">
        <v>76</v>
      </c>
      <c r="C6" s="2" t="s">
        <v>77</v>
      </c>
      <c r="D6" s="2" t="s">
        <v>81</v>
      </c>
      <c r="E6" s="2" t="s">
        <v>79</v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n">
        <v>160000</v>
      </c>
      <c r="S6" s="7" t="n">
        <v>208000</v>
      </c>
      <c r="T6" s="7" t="n">
        <v>256000</v>
      </c>
      <c r="U6" s="7" t="n">
        <v>304000</v>
      </c>
      <c r="V6" s="7" t="n">
        <v>352000</v>
      </c>
      <c r="W6" s="7" t="n">
        <v>400000</v>
      </c>
      <c r="X6" s="7" t="n">
        <v>448000</v>
      </c>
      <c r="Y6" s="7" t="n">
        <v>496000</v>
      </c>
      <c r="Z6" s="7" t="n">
        <v>544000</v>
      </c>
      <c r="AA6" s="7" t="n">
        <v>592000</v>
      </c>
      <c r="AB6" s="7" t="n">
        <v>640000</v>
      </c>
      <c r="AC6" s="7" t="n">
        <v>688000</v>
      </c>
      <c r="AD6" s="7" t="n">
        <v>736000</v>
      </c>
      <c r="AE6" s="7" t="n">
        <v>784000</v>
      </c>
      <c r="AF6" s="7" t="n">
        <v>832000</v>
      </c>
      <c r="AG6" s="7" t="n">
        <v>880000</v>
      </c>
      <c r="AH6" s="7" t="n">
        <v>928000</v>
      </c>
      <c r="AI6" s="7" t="n">
        <v>960000</v>
      </c>
      <c r="AJ6" s="7" t="n">
        <v>960000</v>
      </c>
      <c r="AK6" s="7" t="n">
        <v>960000</v>
      </c>
      <c r="AL6" s="7" t="n">
        <v>960000</v>
      </c>
      <c r="AM6" s="7" t="n">
        <v>960000</v>
      </c>
      <c r="AN6" s="7" t="n">
        <v>960000</v>
      </c>
      <c r="AO6" s="7" t="n">
        <v>960000</v>
      </c>
      <c r="AP6" s="9" t="n">
        <f aca="false">SUM(F6:M6)</f>
        <v>0</v>
      </c>
      <c r="AQ6" s="9" t="n">
        <f aca="false">SUM(N6:Y6)</f>
        <v>2624000</v>
      </c>
      <c r="AR6" s="9" t="n">
        <f aca="false">SUM(Z6:AK6)</f>
        <v>9504000</v>
      </c>
      <c r="AS6" s="9" t="n">
        <f aca="false">SUM(AL6:AO6)</f>
        <v>3840000</v>
      </c>
      <c r="AT6" s="2" t="s">
        <v>80</v>
      </c>
    </row>
    <row r="7" customFormat="false" ht="15" hidden="false" customHeight="false" outlineLevel="0" collapsed="false">
      <c r="A7" s="2" t="s">
        <v>14</v>
      </c>
      <c r="B7" s="17" t="s">
        <v>76</v>
      </c>
      <c r="C7" s="2" t="s">
        <v>82</v>
      </c>
      <c r="D7" s="2" t="s">
        <v>78</v>
      </c>
      <c r="E7" s="2" t="s">
        <v>83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75000</v>
      </c>
      <c r="O7" s="7" t="n">
        <v>165000</v>
      </c>
      <c r="P7" s="7" t="n">
        <v>285000</v>
      </c>
      <c r="Q7" s="7" t="n">
        <v>405000</v>
      </c>
      <c r="R7" s="7" t="n">
        <v>495000</v>
      </c>
      <c r="S7" s="7" t="n">
        <v>600000</v>
      </c>
      <c r="T7" s="7" t="n">
        <v>705000</v>
      </c>
      <c r="U7" s="7" t="n">
        <v>885000</v>
      </c>
      <c r="V7" s="7" t="n">
        <v>1110000</v>
      </c>
      <c r="W7" s="7" t="n">
        <v>1305000</v>
      </c>
      <c r="X7" s="7" t="n">
        <v>1470000</v>
      </c>
      <c r="Y7" s="7" t="n">
        <v>1605000</v>
      </c>
      <c r="Z7" s="7" t="n">
        <v>1755000</v>
      </c>
      <c r="AA7" s="7" t="n">
        <v>1950000</v>
      </c>
      <c r="AB7" s="7" t="n">
        <v>2205000</v>
      </c>
      <c r="AC7" s="7" t="n">
        <v>2415000</v>
      </c>
      <c r="AD7" s="7" t="n">
        <v>2580000</v>
      </c>
      <c r="AE7" s="7" t="n">
        <v>2730000</v>
      </c>
      <c r="AF7" s="7" t="n">
        <v>2895000</v>
      </c>
      <c r="AG7" s="7" t="n">
        <v>3120000</v>
      </c>
      <c r="AH7" s="7" t="n">
        <v>3405000</v>
      </c>
      <c r="AI7" s="7" t="n">
        <v>3630000</v>
      </c>
      <c r="AJ7" s="7" t="n">
        <v>3795000</v>
      </c>
      <c r="AK7" s="7" t="n">
        <v>3930000</v>
      </c>
      <c r="AL7" s="7" t="n">
        <v>4080000</v>
      </c>
      <c r="AM7" s="7" t="n">
        <v>4275000</v>
      </c>
      <c r="AN7" s="7" t="n">
        <v>4515000</v>
      </c>
      <c r="AO7" s="7" t="n">
        <v>4710000</v>
      </c>
      <c r="AP7" s="9" t="n">
        <f aca="false">SUM(F7:M7)</f>
        <v>0</v>
      </c>
      <c r="AQ7" s="9" t="n">
        <f aca="false">SUM(N7:Y7)</f>
        <v>9105000</v>
      </c>
      <c r="AR7" s="9" t="n">
        <f aca="false">SUM(Z7:AK7)</f>
        <v>34410000</v>
      </c>
      <c r="AS7" s="9" t="n">
        <f aca="false">SUM(AL7:AO7)</f>
        <v>17580000</v>
      </c>
      <c r="AT7" s="2" t="s">
        <v>80</v>
      </c>
    </row>
    <row r="8" customFormat="false" ht="15" hidden="false" customHeight="false" outlineLevel="0" collapsed="false">
      <c r="A8" s="2" t="s">
        <v>14</v>
      </c>
      <c r="B8" s="17" t="s">
        <v>76</v>
      </c>
      <c r="C8" s="2" t="s">
        <v>82</v>
      </c>
      <c r="D8" s="2" t="s">
        <v>81</v>
      </c>
      <c r="E8" s="2" t="s">
        <v>83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1250000</v>
      </c>
      <c r="Q8" s="7" t="n">
        <v>1250000</v>
      </c>
      <c r="R8" s="7" t="n">
        <v>1250000</v>
      </c>
      <c r="S8" s="7" t="n">
        <v>1250000</v>
      </c>
      <c r="T8" s="7" t="n">
        <v>1250000</v>
      </c>
      <c r="U8" s="7" t="n">
        <v>1250000</v>
      </c>
      <c r="V8" s="7" t="n">
        <v>2250000</v>
      </c>
      <c r="W8" s="7" t="n">
        <v>2250000</v>
      </c>
      <c r="X8" s="7" t="n">
        <v>2250000</v>
      </c>
      <c r="Y8" s="7" t="n">
        <v>2250000</v>
      </c>
      <c r="Z8" s="7" t="n">
        <v>2250000</v>
      </c>
      <c r="AA8" s="7" t="n">
        <v>2250000</v>
      </c>
      <c r="AB8" s="7" t="n">
        <v>4500000</v>
      </c>
      <c r="AC8" s="7" t="n">
        <v>4500000</v>
      </c>
      <c r="AD8" s="7" t="n">
        <v>4500000</v>
      </c>
      <c r="AE8" s="7" t="n">
        <v>4500000</v>
      </c>
      <c r="AF8" s="7" t="n">
        <v>4500000</v>
      </c>
      <c r="AG8" s="7" t="n">
        <v>4500000</v>
      </c>
      <c r="AH8" s="7" t="n">
        <v>6175000</v>
      </c>
      <c r="AI8" s="7" t="n">
        <v>6175000</v>
      </c>
      <c r="AJ8" s="7" t="n">
        <v>6175000</v>
      </c>
      <c r="AK8" s="7" t="n">
        <v>6175000</v>
      </c>
      <c r="AL8" s="7" t="n">
        <v>6175000</v>
      </c>
      <c r="AM8" s="7" t="n">
        <v>6175000</v>
      </c>
      <c r="AN8" s="7" t="n">
        <v>5475000</v>
      </c>
      <c r="AO8" s="7" t="n">
        <v>5475000</v>
      </c>
      <c r="AP8" s="9" t="n">
        <f aca="false">SUM(F8:M8)</f>
        <v>0</v>
      </c>
      <c r="AQ8" s="9" t="n">
        <f aca="false">SUM(N8:Y8)</f>
        <v>16500000</v>
      </c>
      <c r="AR8" s="9" t="n">
        <f aca="false">SUM(Z8:AK8)</f>
        <v>56200000</v>
      </c>
      <c r="AS8" s="9" t="n">
        <f aca="false">SUM(AL8:AO8)</f>
        <v>23300000</v>
      </c>
      <c r="AT8" s="2" t="s">
        <v>80</v>
      </c>
    </row>
    <row r="9" customFormat="false" ht="15" hidden="false" customHeight="false" outlineLevel="0" collapsed="false">
      <c r="A9" s="2" t="s">
        <v>14</v>
      </c>
      <c r="B9" s="17" t="s">
        <v>84</v>
      </c>
      <c r="C9" s="2" t="s">
        <v>77</v>
      </c>
      <c r="D9" s="2" t="s">
        <v>78</v>
      </c>
      <c r="E9" s="2" t="s">
        <v>79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432000</v>
      </c>
      <c r="L9" s="7" t="n">
        <v>720000</v>
      </c>
      <c r="M9" s="7" t="n">
        <v>936000</v>
      </c>
      <c r="N9" s="7" t="n">
        <v>1260000</v>
      </c>
      <c r="O9" s="7" t="n">
        <v>1656000</v>
      </c>
      <c r="P9" s="7" t="n">
        <v>2232000</v>
      </c>
      <c r="Q9" s="7" t="n">
        <v>2700000</v>
      </c>
      <c r="R9" s="7" t="n">
        <v>2988000</v>
      </c>
      <c r="S9" s="7" t="n">
        <v>3204000</v>
      </c>
      <c r="T9" s="7" t="n">
        <v>3564000</v>
      </c>
      <c r="U9" s="7" t="n">
        <v>4176000</v>
      </c>
      <c r="V9" s="7" t="n">
        <v>5076000</v>
      </c>
      <c r="W9" s="7" t="n">
        <v>5724000</v>
      </c>
      <c r="X9" s="7" t="n">
        <v>6048000</v>
      </c>
      <c r="Y9" s="7" t="n">
        <v>6228000</v>
      </c>
      <c r="Z9" s="7" t="n">
        <v>6768000</v>
      </c>
      <c r="AA9" s="7" t="n">
        <v>7524000</v>
      </c>
      <c r="AB9" s="7" t="n">
        <v>8676000</v>
      </c>
      <c r="AC9" s="7" t="n">
        <v>9504000</v>
      </c>
      <c r="AD9" s="7" t="n">
        <v>9864000</v>
      </c>
      <c r="AE9" s="7" t="n">
        <v>10080000</v>
      </c>
      <c r="AF9" s="7" t="n">
        <v>10440000</v>
      </c>
      <c r="AG9" s="7" t="n">
        <v>11304000</v>
      </c>
      <c r="AH9" s="7" t="n">
        <v>12600000</v>
      </c>
      <c r="AI9" s="7" t="n">
        <v>13356000</v>
      </c>
      <c r="AJ9" s="7" t="n">
        <v>13572000</v>
      </c>
      <c r="AK9" s="7" t="n">
        <v>13464000</v>
      </c>
      <c r="AL9" s="7" t="n">
        <v>13788000</v>
      </c>
      <c r="AM9" s="7" t="n">
        <v>14472000</v>
      </c>
      <c r="AN9" s="7" t="n">
        <v>15696000</v>
      </c>
      <c r="AO9" s="7" t="n">
        <v>16452000</v>
      </c>
      <c r="AP9" s="9" t="n">
        <f aca="false">SUM(F9:M9)</f>
        <v>2088000</v>
      </c>
      <c r="AQ9" s="9" t="n">
        <f aca="false">SUM(N9:Y9)</f>
        <v>44856000</v>
      </c>
      <c r="AR9" s="9" t="n">
        <f aca="false">SUM(Z9:AK9)</f>
        <v>127152000</v>
      </c>
      <c r="AS9" s="9" t="n">
        <f aca="false">SUM(AL9:AO9)</f>
        <v>60408000</v>
      </c>
      <c r="AT9" s="2" t="s">
        <v>80</v>
      </c>
    </row>
    <row r="10" customFormat="false" ht="15" hidden="false" customHeight="false" outlineLevel="0" collapsed="false">
      <c r="A10" s="2" t="s">
        <v>14</v>
      </c>
      <c r="B10" s="17" t="s">
        <v>84</v>
      </c>
      <c r="C10" s="2" t="s">
        <v>77</v>
      </c>
      <c r="D10" s="2" t="s">
        <v>81</v>
      </c>
      <c r="E10" s="2" t="s">
        <v>79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160000</v>
      </c>
      <c r="V10" s="7" t="n">
        <v>192000</v>
      </c>
      <c r="W10" s="7" t="n">
        <v>224000</v>
      </c>
      <c r="X10" s="7" t="n">
        <v>256000</v>
      </c>
      <c r="Y10" s="7" t="n">
        <v>288000</v>
      </c>
      <c r="Z10" s="7" t="n">
        <v>320000</v>
      </c>
      <c r="AA10" s="7" t="n">
        <v>352000</v>
      </c>
      <c r="AB10" s="7" t="n">
        <v>384000</v>
      </c>
      <c r="AC10" s="7" t="n">
        <v>416000</v>
      </c>
      <c r="AD10" s="7" t="n">
        <v>448000</v>
      </c>
      <c r="AE10" s="7" t="n">
        <v>480000</v>
      </c>
      <c r="AF10" s="7" t="n">
        <v>512000</v>
      </c>
      <c r="AG10" s="7" t="n">
        <v>544000</v>
      </c>
      <c r="AH10" s="7" t="n">
        <v>576000</v>
      </c>
      <c r="AI10" s="7" t="n">
        <v>608000</v>
      </c>
      <c r="AJ10" s="7" t="n">
        <v>640000</v>
      </c>
      <c r="AK10" s="7" t="n">
        <v>640000</v>
      </c>
      <c r="AL10" s="7" t="n">
        <v>640000</v>
      </c>
      <c r="AM10" s="7" t="n">
        <v>640000</v>
      </c>
      <c r="AN10" s="7" t="n">
        <v>640000</v>
      </c>
      <c r="AO10" s="7" t="n">
        <v>640000</v>
      </c>
      <c r="AP10" s="9" t="n">
        <f aca="false">SUM(F10:M10)</f>
        <v>0</v>
      </c>
      <c r="AQ10" s="9" t="n">
        <f aca="false">SUM(N10:Y10)</f>
        <v>1120000</v>
      </c>
      <c r="AR10" s="9" t="n">
        <f aca="false">SUM(Z10:AK10)</f>
        <v>5920000</v>
      </c>
      <c r="AS10" s="9" t="n">
        <f aca="false">SUM(AL10:AO10)</f>
        <v>2560000</v>
      </c>
      <c r="AT10" s="2" t="s">
        <v>80</v>
      </c>
    </row>
    <row r="11" customFormat="false" ht="15" hidden="false" customHeight="false" outlineLevel="0" collapsed="false">
      <c r="A11" s="2" t="s">
        <v>14</v>
      </c>
      <c r="B11" s="17" t="s">
        <v>84</v>
      </c>
      <c r="C11" s="2" t="s">
        <v>82</v>
      </c>
      <c r="D11" s="2" t="s">
        <v>78</v>
      </c>
      <c r="E11" s="2" t="s">
        <v>83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60000</v>
      </c>
      <c r="O11" s="7" t="n">
        <v>150000</v>
      </c>
      <c r="P11" s="7" t="n">
        <v>300000</v>
      </c>
      <c r="Q11" s="7" t="n">
        <v>420000</v>
      </c>
      <c r="R11" s="7" t="n">
        <v>510000</v>
      </c>
      <c r="S11" s="7" t="n">
        <v>600000</v>
      </c>
      <c r="T11" s="7" t="n">
        <v>720000</v>
      </c>
      <c r="U11" s="7" t="n">
        <v>870000</v>
      </c>
      <c r="V11" s="7" t="n">
        <v>1110000</v>
      </c>
      <c r="W11" s="7" t="n">
        <v>1290000</v>
      </c>
      <c r="X11" s="7" t="n">
        <v>1470000</v>
      </c>
      <c r="Y11" s="7" t="n">
        <v>1590000</v>
      </c>
      <c r="Z11" s="7" t="n">
        <v>1770000</v>
      </c>
      <c r="AA11" s="7" t="n">
        <v>1950000</v>
      </c>
      <c r="AB11" s="7" t="n">
        <v>2190000</v>
      </c>
      <c r="AC11" s="7" t="n">
        <v>2430000</v>
      </c>
      <c r="AD11" s="7" t="n">
        <v>2580000</v>
      </c>
      <c r="AE11" s="7" t="n">
        <v>2730000</v>
      </c>
      <c r="AF11" s="7" t="n">
        <v>2910000</v>
      </c>
      <c r="AG11" s="7" t="n">
        <v>3120000</v>
      </c>
      <c r="AH11" s="7" t="n">
        <v>3390000</v>
      </c>
      <c r="AI11" s="7" t="n">
        <v>3630000</v>
      </c>
      <c r="AJ11" s="7" t="n">
        <v>3810000</v>
      </c>
      <c r="AK11" s="7" t="n">
        <v>3930000</v>
      </c>
      <c r="AL11" s="7" t="n">
        <v>4080000</v>
      </c>
      <c r="AM11" s="7" t="n">
        <v>4260000</v>
      </c>
      <c r="AN11" s="7" t="n">
        <v>4500000</v>
      </c>
      <c r="AO11" s="7" t="n">
        <v>4710000</v>
      </c>
      <c r="AP11" s="9" t="n">
        <f aca="false">SUM(F11:M11)</f>
        <v>0</v>
      </c>
      <c r="AQ11" s="9" t="n">
        <f aca="false">SUM(N11:Y11)</f>
        <v>9090000</v>
      </c>
      <c r="AR11" s="9" t="n">
        <f aca="false">SUM(Z11:AK11)</f>
        <v>34440000</v>
      </c>
      <c r="AS11" s="9" t="n">
        <f aca="false">SUM(AL11:AO11)</f>
        <v>17550000</v>
      </c>
      <c r="AT11" s="2" t="s">
        <v>80</v>
      </c>
    </row>
    <row r="12" customFormat="false" ht="15" hidden="false" customHeight="false" outlineLevel="0" collapsed="false">
      <c r="A12" s="2" t="s">
        <v>14</v>
      </c>
      <c r="B12" s="17" t="s">
        <v>84</v>
      </c>
      <c r="C12" s="2" t="s">
        <v>82</v>
      </c>
      <c r="D12" s="2" t="s">
        <v>81</v>
      </c>
      <c r="E12" s="2" t="s">
        <v>83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  <c r="V12" s="7" t="n">
        <v>0</v>
      </c>
      <c r="W12" s="7" t="n">
        <v>0</v>
      </c>
      <c r="X12" s="7" t="n">
        <v>0</v>
      </c>
      <c r="Y12" s="7" t="n">
        <v>0</v>
      </c>
      <c r="Z12" s="7" t="n">
        <v>0</v>
      </c>
      <c r="AA12" s="7" t="n">
        <v>0</v>
      </c>
      <c r="AB12" s="7" t="n">
        <v>1000000</v>
      </c>
      <c r="AC12" s="7" t="n">
        <v>1000000</v>
      </c>
      <c r="AD12" s="7" t="n">
        <v>1000000</v>
      </c>
      <c r="AE12" s="7" t="n">
        <v>1000000</v>
      </c>
      <c r="AF12" s="7" t="n">
        <v>1000000</v>
      </c>
      <c r="AG12" s="7" t="n">
        <v>1000000</v>
      </c>
      <c r="AH12" s="7" t="n">
        <v>1000000</v>
      </c>
      <c r="AI12" s="7" t="n">
        <v>1000000</v>
      </c>
      <c r="AJ12" s="7" t="n">
        <v>1000000</v>
      </c>
      <c r="AK12" s="7" t="n">
        <v>1000000</v>
      </c>
      <c r="AL12" s="7" t="n">
        <v>1000000</v>
      </c>
      <c r="AM12" s="7" t="n">
        <v>1000000</v>
      </c>
      <c r="AN12" s="7" t="n">
        <v>800000</v>
      </c>
      <c r="AO12" s="7" t="n">
        <v>800000</v>
      </c>
      <c r="AP12" s="9" t="n">
        <f aca="false">SUM(F12:M12)</f>
        <v>0</v>
      </c>
      <c r="AQ12" s="9" t="n">
        <f aca="false">SUM(N12:Y12)</f>
        <v>0</v>
      </c>
      <c r="AR12" s="9" t="n">
        <f aca="false">SUM(Z12:AK12)</f>
        <v>10000000</v>
      </c>
      <c r="AS12" s="9" t="n">
        <f aca="false">SUM(AL12:AO12)</f>
        <v>3600000</v>
      </c>
      <c r="AT12" s="2" t="s">
        <v>80</v>
      </c>
    </row>
    <row r="13" customFormat="false" ht="15" hidden="false" customHeight="false" outlineLevel="0" collapsed="false">
      <c r="A13" s="2" t="s">
        <v>14</v>
      </c>
      <c r="B13" s="17" t="s">
        <v>85</v>
      </c>
      <c r="C13" s="17" t="s">
        <v>86</v>
      </c>
      <c r="D13" s="2" t="s">
        <v>78</v>
      </c>
      <c r="E13" s="2" t="s">
        <v>87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752136</v>
      </c>
      <c r="P13" s="7" t="n">
        <v>1571592</v>
      </c>
      <c r="Q13" s="7" t="n">
        <v>1802592</v>
      </c>
      <c r="R13" s="7" t="n">
        <v>1576646</v>
      </c>
      <c r="S13" s="7" t="n">
        <v>1416586</v>
      </c>
      <c r="T13" s="7" t="n">
        <v>1617151</v>
      </c>
      <c r="U13" s="7" t="n">
        <v>2380186</v>
      </c>
      <c r="V13" s="7" t="n">
        <v>3635054</v>
      </c>
      <c r="W13" s="7" t="n">
        <v>3752722</v>
      </c>
      <c r="X13" s="7" t="n">
        <v>3088121</v>
      </c>
      <c r="Y13" s="7" t="n">
        <v>2442981</v>
      </c>
      <c r="Z13" s="7" t="n">
        <v>2896344</v>
      </c>
      <c r="AA13" s="7" t="n">
        <v>3978933</v>
      </c>
      <c r="AB13" s="7" t="n">
        <v>5766552</v>
      </c>
      <c r="AC13" s="7" t="n">
        <v>6109488</v>
      </c>
      <c r="AD13" s="7" t="n">
        <v>5050358</v>
      </c>
      <c r="AE13" s="7" t="n">
        <v>4336049</v>
      </c>
      <c r="AF13" s="7" t="n">
        <v>4684680</v>
      </c>
      <c r="AG13" s="7" t="n">
        <v>6415766</v>
      </c>
      <c r="AH13" s="7" t="n">
        <v>9042830</v>
      </c>
      <c r="AI13" s="7" t="n">
        <v>8830574</v>
      </c>
      <c r="AJ13" s="7" t="n">
        <v>6965753</v>
      </c>
      <c r="AK13" s="7" t="n">
        <v>5325219</v>
      </c>
      <c r="AL13" s="7" t="n">
        <v>5950296</v>
      </c>
      <c r="AM13" s="7" t="n">
        <v>7675347</v>
      </c>
      <c r="AN13" s="7" t="n">
        <v>10434072</v>
      </c>
      <c r="AO13" s="7" t="n">
        <v>10574784</v>
      </c>
      <c r="AP13" s="9" t="n">
        <f aca="false">SUM(F13:M13)</f>
        <v>0</v>
      </c>
      <c r="AQ13" s="9" t="n">
        <f aca="false">SUM(N13:Y13)</f>
        <v>24035767</v>
      </c>
      <c r="AR13" s="9" t="n">
        <f aca="false">SUM(Z13:AK13)</f>
        <v>69402546</v>
      </c>
      <c r="AS13" s="9" t="n">
        <f aca="false">SUM(AL13:AO13)</f>
        <v>34634499</v>
      </c>
      <c r="AT13" s="2" t="s">
        <v>80</v>
      </c>
    </row>
    <row r="14" customFormat="false" ht="15" hidden="false" customHeight="false" outlineLevel="0" collapsed="false">
      <c r="A14" s="2" t="s">
        <v>14</v>
      </c>
      <c r="B14" s="17" t="s">
        <v>85</v>
      </c>
      <c r="C14" s="17" t="s">
        <v>86</v>
      </c>
      <c r="D14" s="2" t="s">
        <v>81</v>
      </c>
      <c r="E14" s="2" t="s">
        <v>87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666667</v>
      </c>
      <c r="T14" s="7" t="n">
        <v>666667</v>
      </c>
      <c r="U14" s="7" t="n">
        <v>666667</v>
      </c>
      <c r="V14" s="7" t="n">
        <v>833333</v>
      </c>
      <c r="W14" s="7" t="n">
        <v>833333</v>
      </c>
      <c r="X14" s="7" t="n">
        <v>833333</v>
      </c>
      <c r="Y14" s="7" t="n">
        <v>1000000</v>
      </c>
      <c r="Z14" s="7" t="n">
        <v>1000000</v>
      </c>
      <c r="AA14" s="7" t="n">
        <v>1000000</v>
      </c>
      <c r="AB14" s="7" t="n">
        <v>1166667</v>
      </c>
      <c r="AC14" s="7" t="n">
        <v>1166667</v>
      </c>
      <c r="AD14" s="7" t="n">
        <v>1166667</v>
      </c>
      <c r="AE14" s="7" t="n">
        <v>1333333</v>
      </c>
      <c r="AF14" s="7" t="n">
        <v>1333333</v>
      </c>
      <c r="AG14" s="7" t="n">
        <v>1333333</v>
      </c>
      <c r="AH14" s="7" t="n">
        <v>1500000</v>
      </c>
      <c r="AI14" s="7" t="n">
        <v>1500000</v>
      </c>
      <c r="AJ14" s="7" t="n">
        <v>1500000</v>
      </c>
      <c r="AK14" s="7" t="n">
        <v>1666667</v>
      </c>
      <c r="AL14" s="7" t="n">
        <v>1666667</v>
      </c>
      <c r="AM14" s="7" t="n">
        <v>1666667</v>
      </c>
      <c r="AN14" s="7" t="n">
        <v>1833333</v>
      </c>
      <c r="AO14" s="7" t="n">
        <v>1833333</v>
      </c>
      <c r="AP14" s="9" t="n">
        <f aca="false">SUM(F14:M14)</f>
        <v>0</v>
      </c>
      <c r="AQ14" s="9" t="n">
        <f aca="false">SUM(N14:Y14)</f>
        <v>5500000</v>
      </c>
      <c r="AR14" s="9" t="n">
        <f aca="false">SUM(Z14:AK14)</f>
        <v>15666667</v>
      </c>
      <c r="AS14" s="9" t="n">
        <f aca="false">SUM(AL14:AO14)</f>
        <v>7000000</v>
      </c>
      <c r="AT14" s="2" t="s">
        <v>80</v>
      </c>
    </row>
    <row r="15" customFormat="false" ht="15" hidden="false" customHeight="false" outlineLevel="0" collapsed="false">
      <c r="A15" s="2" t="s">
        <v>14</v>
      </c>
      <c r="B15" s="17" t="s">
        <v>88</v>
      </c>
      <c r="C15" s="2" t="s">
        <v>89</v>
      </c>
      <c r="D15" s="2" t="s">
        <v>90</v>
      </c>
      <c r="E15" s="2" t="s">
        <v>91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504000</v>
      </c>
      <c r="Q15" s="7" t="n">
        <v>479002</v>
      </c>
      <c r="R15" s="7" t="n">
        <v>398297</v>
      </c>
      <c r="S15" s="7" t="n">
        <v>392481</v>
      </c>
      <c r="T15" s="7" t="n">
        <v>489427</v>
      </c>
      <c r="U15" s="7" t="n">
        <v>723265</v>
      </c>
      <c r="V15" s="7" t="n">
        <v>1001912</v>
      </c>
      <c r="W15" s="7" t="n">
        <v>888163</v>
      </c>
      <c r="X15" s="7" t="n">
        <v>738035</v>
      </c>
      <c r="Y15" s="7" t="n">
        <v>635922</v>
      </c>
      <c r="Z15" s="7" t="n">
        <v>849061</v>
      </c>
      <c r="AA15" s="7" t="n">
        <v>1077522</v>
      </c>
      <c r="AB15" s="7" t="n">
        <v>1423781</v>
      </c>
      <c r="AC15" s="7" t="n">
        <v>1266842</v>
      </c>
      <c r="AD15" s="7" t="n">
        <v>986171</v>
      </c>
      <c r="AE15" s="7" t="n">
        <v>909723</v>
      </c>
      <c r="AF15" s="7" t="n">
        <v>1061968</v>
      </c>
      <c r="AG15" s="7" t="n">
        <v>1469056</v>
      </c>
      <c r="AH15" s="7" t="n">
        <v>1904906</v>
      </c>
      <c r="AI15" s="7" t="n">
        <v>1580607</v>
      </c>
      <c r="AJ15" s="7" t="n">
        <v>1229361</v>
      </c>
      <c r="AK15" s="7" t="n">
        <v>991429</v>
      </c>
      <c r="AL15" s="7" t="n">
        <v>1296315</v>
      </c>
      <c r="AM15" s="7" t="n">
        <v>1610995</v>
      </c>
      <c r="AN15" s="7" t="n">
        <v>2084441</v>
      </c>
      <c r="AO15" s="7" t="n">
        <v>1816050</v>
      </c>
      <c r="AP15" s="9" t="n">
        <f aca="false">SUM(F15:M15)</f>
        <v>0</v>
      </c>
      <c r="AQ15" s="9" t="n">
        <f aca="false">SUM(N15:Y15)</f>
        <v>6250504</v>
      </c>
      <c r="AR15" s="9" t="n">
        <f aca="false">SUM(Z15:AK15)</f>
        <v>14750427</v>
      </c>
      <c r="AS15" s="9" t="n">
        <f aca="false">SUM(AL15:AO15)</f>
        <v>6807801</v>
      </c>
      <c r="AT15" s="2" t="s">
        <v>80</v>
      </c>
    </row>
    <row r="16" customFormat="false" ht="15" hidden="false" customHeight="false" outlineLevel="0" collapsed="false">
      <c r="A16" s="2" t="s">
        <v>14</v>
      </c>
      <c r="B16" s="17" t="s">
        <v>88</v>
      </c>
      <c r="C16" s="2" t="s">
        <v>89</v>
      </c>
      <c r="D16" s="2" t="s">
        <v>92</v>
      </c>
      <c r="E16" s="2" t="s">
        <v>91</v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336000</v>
      </c>
      <c r="Q16" s="7" t="n">
        <v>327398</v>
      </c>
      <c r="R16" s="7" t="n">
        <v>279079</v>
      </c>
      <c r="S16" s="7" t="n">
        <v>281885</v>
      </c>
      <c r="T16" s="7" t="n">
        <v>360273</v>
      </c>
      <c r="U16" s="7" t="n">
        <v>545621</v>
      </c>
      <c r="V16" s="7" t="n">
        <v>774528</v>
      </c>
      <c r="W16" s="7" t="n">
        <v>703527</v>
      </c>
      <c r="X16" s="7" t="n">
        <v>598985</v>
      </c>
      <c r="Y16" s="7" t="n">
        <v>528771</v>
      </c>
      <c r="Z16" s="7" t="n">
        <v>723274</v>
      </c>
      <c r="AA16" s="7" t="n">
        <v>940309</v>
      </c>
      <c r="AB16" s="7" t="n">
        <v>1272774</v>
      </c>
      <c r="AC16" s="7" t="n">
        <v>1160058</v>
      </c>
      <c r="AD16" s="7" t="n">
        <v>925013</v>
      </c>
      <c r="AE16" s="7" t="n">
        <v>874048</v>
      </c>
      <c r="AF16" s="7" t="n">
        <v>1045112</v>
      </c>
      <c r="AG16" s="7" t="n">
        <v>1480856</v>
      </c>
      <c r="AH16" s="7" t="n">
        <v>1966854</v>
      </c>
      <c r="AI16" s="7" t="n">
        <v>1671671</v>
      </c>
      <c r="AJ16" s="7" t="n">
        <v>1331808</v>
      </c>
      <c r="AK16" s="7" t="n">
        <v>1100193</v>
      </c>
      <c r="AL16" s="7" t="n">
        <v>1473589</v>
      </c>
      <c r="AM16" s="7" t="n">
        <v>1876007</v>
      </c>
      <c r="AN16" s="7" t="n">
        <v>2486701</v>
      </c>
      <c r="AO16" s="7" t="n">
        <v>2219616</v>
      </c>
      <c r="AP16" s="9" t="n">
        <f aca="false">SUM(F16:M16)</f>
        <v>0</v>
      </c>
      <c r="AQ16" s="9" t="n">
        <f aca="false">SUM(N16:Y16)</f>
        <v>4736067</v>
      </c>
      <c r="AR16" s="9" t="n">
        <f aca="false">SUM(Z16:AK16)</f>
        <v>14491970</v>
      </c>
      <c r="AS16" s="9" t="n">
        <f aca="false">SUM(AL16:AO16)</f>
        <v>8055913</v>
      </c>
      <c r="AT16" s="2" t="s">
        <v>80</v>
      </c>
    </row>
    <row r="17" customFormat="false" ht="15" hidden="false" customHeight="false" outlineLevel="0" collapsed="false">
      <c r="A17" s="2" t="s">
        <v>14</v>
      </c>
      <c r="B17" s="17" t="s">
        <v>93</v>
      </c>
      <c r="C17" s="2" t="s">
        <v>89</v>
      </c>
      <c r="D17" s="2" t="s">
        <v>90</v>
      </c>
      <c r="E17" s="2" t="s">
        <v>91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0</v>
      </c>
      <c r="Q17" s="7" t="n">
        <v>0</v>
      </c>
      <c r="R17" s="7" t="n">
        <v>264600</v>
      </c>
      <c r="S17" s="7" t="n">
        <v>267720</v>
      </c>
      <c r="T17" s="7" t="n">
        <v>342792</v>
      </c>
      <c r="U17" s="7" t="n">
        <v>520139</v>
      </c>
      <c r="V17" s="7" t="n">
        <v>739830</v>
      </c>
      <c r="W17" s="7" t="n">
        <v>673402</v>
      </c>
      <c r="X17" s="7" t="n">
        <v>574564</v>
      </c>
      <c r="Y17" s="7" t="n">
        <v>508330</v>
      </c>
      <c r="Z17" s="7" t="n">
        <v>685168</v>
      </c>
      <c r="AA17" s="7" t="n">
        <v>877810</v>
      </c>
      <c r="AB17" s="7" t="n">
        <v>1170939</v>
      </c>
      <c r="AC17" s="7" t="n">
        <v>1051793</v>
      </c>
      <c r="AD17" s="7" t="n">
        <v>826564</v>
      </c>
      <c r="AE17" s="7" t="n">
        <v>769751</v>
      </c>
      <c r="AF17" s="7" t="n">
        <v>907129</v>
      </c>
      <c r="AG17" s="7" t="n">
        <v>1266813</v>
      </c>
      <c r="AH17" s="7" t="n">
        <v>1658304</v>
      </c>
      <c r="AI17" s="7" t="n">
        <v>1389092</v>
      </c>
      <c r="AJ17" s="7" t="n">
        <v>1090695</v>
      </c>
      <c r="AK17" s="7" t="n">
        <v>887977</v>
      </c>
      <c r="AL17" s="7" t="n">
        <v>1161050</v>
      </c>
      <c r="AM17" s="7" t="n">
        <v>1442894</v>
      </c>
      <c r="AN17" s="7" t="n">
        <v>1866938</v>
      </c>
      <c r="AO17" s="7" t="n">
        <v>1626552</v>
      </c>
      <c r="AP17" s="9" t="n">
        <f aca="false">SUM(F17:M17)</f>
        <v>0</v>
      </c>
      <c r="AQ17" s="9" t="n">
        <f aca="false">SUM(N17:Y17)</f>
        <v>3891377</v>
      </c>
      <c r="AR17" s="9" t="n">
        <f aca="false">SUM(Z17:AK17)</f>
        <v>12582035</v>
      </c>
      <c r="AS17" s="9" t="n">
        <f aca="false">SUM(AL17:AO17)</f>
        <v>6097434</v>
      </c>
      <c r="AT17" s="2" t="s">
        <v>80</v>
      </c>
    </row>
    <row r="18" customFormat="false" ht="15" hidden="false" customHeight="false" outlineLevel="0" collapsed="false">
      <c r="A18" s="2" t="s">
        <v>14</v>
      </c>
      <c r="B18" s="17" t="s">
        <v>93</v>
      </c>
      <c r="C18" s="2" t="s">
        <v>89</v>
      </c>
      <c r="D18" s="2" t="s">
        <v>92</v>
      </c>
      <c r="E18" s="2" t="s">
        <v>91</v>
      </c>
      <c r="F18" s="7" t="n">
        <v>0</v>
      </c>
      <c r="G18" s="7" t="n">
        <v>0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n">
        <v>185400</v>
      </c>
      <c r="S18" s="7" t="n">
        <v>192280</v>
      </c>
      <c r="T18" s="7" t="n">
        <v>252333</v>
      </c>
      <c r="U18" s="7" t="n">
        <v>392386</v>
      </c>
      <c r="V18" s="7" t="n">
        <v>571925</v>
      </c>
      <c r="W18" s="7" t="n">
        <v>533412</v>
      </c>
      <c r="X18" s="7" t="n">
        <v>466313</v>
      </c>
      <c r="Y18" s="7" t="n">
        <v>422677</v>
      </c>
      <c r="Z18" s="7" t="n">
        <v>583662</v>
      </c>
      <c r="AA18" s="7" t="n">
        <v>766029</v>
      </c>
      <c r="AB18" s="7" t="n">
        <v>1046749</v>
      </c>
      <c r="AC18" s="7" t="n">
        <v>963136</v>
      </c>
      <c r="AD18" s="7" t="n">
        <v>775304</v>
      </c>
      <c r="AE18" s="7" t="n">
        <v>739565</v>
      </c>
      <c r="AF18" s="7" t="n">
        <v>892730</v>
      </c>
      <c r="AG18" s="7" t="n">
        <v>1276988</v>
      </c>
      <c r="AH18" s="7" t="n">
        <v>1712232</v>
      </c>
      <c r="AI18" s="7" t="n">
        <v>1469122</v>
      </c>
      <c r="AJ18" s="7" t="n">
        <v>1181586</v>
      </c>
      <c r="AK18" s="7" t="n">
        <v>985392</v>
      </c>
      <c r="AL18" s="7" t="n">
        <v>1319826</v>
      </c>
      <c r="AM18" s="7" t="n">
        <v>1680253</v>
      </c>
      <c r="AN18" s="7" t="n">
        <v>2227224</v>
      </c>
      <c r="AO18" s="7" t="n">
        <v>1988008</v>
      </c>
      <c r="AP18" s="9" t="n">
        <f aca="false">SUM(F18:M18)</f>
        <v>0</v>
      </c>
      <c r="AQ18" s="9" t="n">
        <f aca="false">SUM(N18:Y18)</f>
        <v>3016726</v>
      </c>
      <c r="AR18" s="9" t="n">
        <f aca="false">SUM(Z18:AK18)</f>
        <v>12392495</v>
      </c>
      <c r="AS18" s="9" t="n">
        <f aca="false">SUM(AL18:AO18)</f>
        <v>7215311</v>
      </c>
      <c r="AT18" s="2" t="s">
        <v>80</v>
      </c>
    </row>
    <row r="19" customFormat="false" ht="15" hidden="false" customHeight="false" outlineLevel="0" collapsed="false">
      <c r="A19" s="2" t="s">
        <v>14</v>
      </c>
      <c r="B19" s="17" t="s">
        <v>94</v>
      </c>
      <c r="C19" s="2" t="s">
        <v>95</v>
      </c>
      <c r="D19" s="2" t="s">
        <v>78</v>
      </c>
      <c r="E19" s="2" t="s">
        <v>96</v>
      </c>
      <c r="F19" s="7" t="n">
        <v>1500000</v>
      </c>
      <c r="G19" s="7" t="n">
        <v>2600000</v>
      </c>
      <c r="H19" s="7" t="n">
        <v>3200000</v>
      </c>
      <c r="I19" s="7" t="n">
        <v>3600000</v>
      </c>
      <c r="J19" s="7" t="n">
        <v>4200000</v>
      </c>
      <c r="K19" s="7" t="n">
        <v>3900000</v>
      </c>
      <c r="L19" s="7" t="n">
        <v>3400000</v>
      </c>
      <c r="M19" s="7" t="n">
        <v>3477876</v>
      </c>
      <c r="N19" s="7" t="n">
        <v>2970000</v>
      </c>
      <c r="O19" s="7" t="n">
        <v>3666300</v>
      </c>
      <c r="P19" s="7" t="n">
        <v>4712862</v>
      </c>
      <c r="Q19" s="7" t="n">
        <v>4079992</v>
      </c>
      <c r="R19" s="7" t="n">
        <v>3090594</v>
      </c>
      <c r="S19" s="7" t="n">
        <v>2774667</v>
      </c>
      <c r="T19" s="7" t="n">
        <v>3152715</v>
      </c>
      <c r="U19" s="7" t="n">
        <v>4245656</v>
      </c>
      <c r="V19" s="7" t="n">
        <v>5360141</v>
      </c>
      <c r="W19" s="7" t="n">
        <v>4330994</v>
      </c>
      <c r="X19" s="7" t="n">
        <v>3280728</v>
      </c>
      <c r="Y19" s="7" t="n">
        <v>2577194</v>
      </c>
      <c r="Z19" s="7" t="n">
        <v>3346670</v>
      </c>
      <c r="AA19" s="7" t="n">
        <v>4131279</v>
      </c>
      <c r="AB19" s="7" t="n">
        <v>5310571</v>
      </c>
      <c r="AC19" s="7" t="n">
        <v>4597437</v>
      </c>
      <c r="AD19" s="7" t="n">
        <v>3482559</v>
      </c>
      <c r="AE19" s="7" t="n">
        <v>3126564</v>
      </c>
      <c r="AF19" s="7" t="n">
        <v>3552558</v>
      </c>
      <c r="AG19" s="7" t="n">
        <v>4784111</v>
      </c>
      <c r="AH19" s="7" t="n">
        <v>6039941</v>
      </c>
      <c r="AI19" s="7" t="n">
        <v>4880272</v>
      </c>
      <c r="AJ19" s="7" t="n">
        <v>3696806</v>
      </c>
      <c r="AK19" s="7" t="n">
        <v>2904047</v>
      </c>
      <c r="AL19" s="7" t="n">
        <v>3771112</v>
      </c>
      <c r="AM19" s="7" t="n">
        <v>4655228</v>
      </c>
      <c r="AN19" s="7" t="n">
        <v>5984084</v>
      </c>
      <c r="AO19" s="7" t="n">
        <v>5180507</v>
      </c>
      <c r="AP19" s="9" t="n">
        <f aca="false">SUM(F19:M19)</f>
        <v>25877876</v>
      </c>
      <c r="AQ19" s="9" t="n">
        <f aca="false">SUM(N19:Y19)</f>
        <v>44241843</v>
      </c>
      <c r="AR19" s="9" t="n">
        <f aca="false">SUM(Z19:AK19)</f>
        <v>49852815</v>
      </c>
      <c r="AS19" s="9" t="n">
        <f aca="false">SUM(AL19:AO19)</f>
        <v>19590931</v>
      </c>
      <c r="AT19" s="2" t="s">
        <v>80</v>
      </c>
    </row>
    <row r="20" customFormat="false" ht="15" hidden="false" customHeight="false" outlineLevel="0" collapsed="false">
      <c r="A20" s="2" t="s">
        <v>14</v>
      </c>
      <c r="B20" s="17" t="s">
        <v>94</v>
      </c>
      <c r="C20" s="2" t="s">
        <v>95</v>
      </c>
      <c r="D20" s="2" t="s">
        <v>97</v>
      </c>
      <c r="E20" s="2" t="s">
        <v>96</v>
      </c>
      <c r="F20" s="7" t="n">
        <v>0</v>
      </c>
      <c r="G20" s="7" t="n">
        <v>0</v>
      </c>
      <c r="H20" s="7" t="n">
        <v>0</v>
      </c>
      <c r="I20" s="7" t="n">
        <v>0</v>
      </c>
      <c r="J20" s="7" t="n">
        <v>0</v>
      </c>
      <c r="K20" s="7" t="n">
        <v>0</v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</v>
      </c>
      <c r="Q20" s="7" t="n">
        <v>1000000</v>
      </c>
      <c r="R20" s="7" t="n">
        <v>0</v>
      </c>
      <c r="S20" s="7" t="n">
        <v>0</v>
      </c>
      <c r="T20" s="7" t="n">
        <v>1250000</v>
      </c>
      <c r="U20" s="7" t="n">
        <v>0</v>
      </c>
      <c r="V20" s="7" t="n">
        <v>0</v>
      </c>
      <c r="W20" s="7" t="n">
        <v>1500000</v>
      </c>
      <c r="X20" s="7" t="n">
        <v>0</v>
      </c>
      <c r="Y20" s="7" t="n">
        <v>0</v>
      </c>
      <c r="Z20" s="7" t="n">
        <v>1750000</v>
      </c>
      <c r="AA20" s="7" t="n">
        <v>0</v>
      </c>
      <c r="AB20" s="7" t="n">
        <v>0</v>
      </c>
      <c r="AC20" s="7" t="n">
        <v>2000000</v>
      </c>
      <c r="AD20" s="7" t="n">
        <v>0</v>
      </c>
      <c r="AE20" s="7" t="n">
        <v>0</v>
      </c>
      <c r="AF20" s="7" t="n">
        <v>2250000</v>
      </c>
      <c r="AG20" s="7" t="n">
        <v>0</v>
      </c>
      <c r="AH20" s="7" t="n">
        <v>0</v>
      </c>
      <c r="AI20" s="7" t="n">
        <v>2500000</v>
      </c>
      <c r="AJ20" s="7" t="n">
        <v>0</v>
      </c>
      <c r="AK20" s="7" t="n">
        <v>0</v>
      </c>
      <c r="AL20" s="7" t="n">
        <v>2750000</v>
      </c>
      <c r="AM20" s="7" t="n">
        <v>0</v>
      </c>
      <c r="AN20" s="7" t="n">
        <v>0</v>
      </c>
      <c r="AO20" s="7" t="n">
        <v>3000000</v>
      </c>
      <c r="AP20" s="9" t="n">
        <f aca="false">SUM(F20:M20)</f>
        <v>0</v>
      </c>
      <c r="AQ20" s="9" t="n">
        <f aca="false">SUM(N20:Y20)</f>
        <v>3750000</v>
      </c>
      <c r="AR20" s="9" t="n">
        <f aca="false">SUM(Z20:AK20)</f>
        <v>8500000</v>
      </c>
      <c r="AS20" s="9" t="n">
        <f aca="false">SUM(AL20:AO20)</f>
        <v>5750000</v>
      </c>
      <c r="AT20" s="2" t="s">
        <v>80</v>
      </c>
    </row>
    <row r="21" customFormat="false" ht="15" hidden="false" customHeight="false" outlineLevel="0" collapsed="false">
      <c r="A21" s="2" t="s">
        <v>14</v>
      </c>
      <c r="B21" s="17" t="s">
        <v>98</v>
      </c>
      <c r="C21" s="2" t="s">
        <v>99</v>
      </c>
      <c r="D21" s="2" t="s">
        <v>78</v>
      </c>
      <c r="E21" s="2" t="s">
        <v>100</v>
      </c>
      <c r="F21" s="7" t="n">
        <v>0</v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3300000</v>
      </c>
      <c r="M21" s="7" t="n">
        <v>0</v>
      </c>
      <c r="N21" s="7" t="n">
        <v>0</v>
      </c>
      <c r="O21" s="7" t="n">
        <v>0</v>
      </c>
      <c r="P21" s="7" t="n">
        <v>0</v>
      </c>
      <c r="Q21" s="7" t="n">
        <v>6250000</v>
      </c>
      <c r="R21" s="7" t="n">
        <v>0</v>
      </c>
      <c r="S21" s="7" t="n">
        <v>0</v>
      </c>
      <c r="T21" s="7" t="n">
        <v>0</v>
      </c>
      <c r="U21" s="7" t="n">
        <v>0</v>
      </c>
      <c r="V21" s="7" t="n">
        <v>0</v>
      </c>
      <c r="W21" s="7" t="n">
        <v>9450000</v>
      </c>
      <c r="X21" s="7" t="n">
        <v>0</v>
      </c>
      <c r="Y21" s="7" t="n">
        <v>0</v>
      </c>
      <c r="Z21" s="7" t="n">
        <v>0</v>
      </c>
      <c r="AA21" s="7" t="n">
        <v>0</v>
      </c>
      <c r="AB21" s="7" t="n">
        <v>0</v>
      </c>
      <c r="AC21" s="7" t="n">
        <v>13500000</v>
      </c>
      <c r="AD21" s="7" t="n">
        <v>0</v>
      </c>
      <c r="AE21" s="7" t="n">
        <v>0</v>
      </c>
      <c r="AF21" s="7" t="n">
        <v>0</v>
      </c>
      <c r="AG21" s="7" t="n">
        <v>0</v>
      </c>
      <c r="AH21" s="7" t="n">
        <v>0</v>
      </c>
      <c r="AI21" s="7" t="n">
        <v>16500000</v>
      </c>
      <c r="AJ21" s="7" t="n">
        <v>0</v>
      </c>
      <c r="AK21" s="7" t="n">
        <v>0</v>
      </c>
      <c r="AL21" s="7" t="n">
        <v>0</v>
      </c>
      <c r="AM21" s="7" t="n">
        <v>0</v>
      </c>
      <c r="AN21" s="7" t="n">
        <v>0</v>
      </c>
      <c r="AO21" s="7" t="n">
        <v>20800000</v>
      </c>
      <c r="AP21" s="9" t="n">
        <f aca="false">SUM(F21:M21)</f>
        <v>3300000</v>
      </c>
      <c r="AQ21" s="9" t="n">
        <f aca="false">SUM(N21:Y21)</f>
        <v>15700000</v>
      </c>
      <c r="AR21" s="9" t="n">
        <f aca="false">SUM(Z21:AK21)</f>
        <v>30000000</v>
      </c>
      <c r="AS21" s="9" t="n">
        <f aca="false">SUM(AL21:AO21)</f>
        <v>20800000</v>
      </c>
      <c r="AT21" s="2" t="s">
        <v>80</v>
      </c>
    </row>
    <row r="22" customFormat="false" ht="15" hidden="false" customHeight="false" outlineLevel="0" collapsed="false">
      <c r="A22" s="2" t="s">
        <v>14</v>
      </c>
      <c r="B22" s="17" t="s">
        <v>98</v>
      </c>
      <c r="C22" s="2" t="s">
        <v>101</v>
      </c>
      <c r="D22" s="2" t="s">
        <v>81</v>
      </c>
      <c r="E22" s="2" t="s">
        <v>100</v>
      </c>
      <c r="F22" s="7" t="n">
        <v>0</v>
      </c>
      <c r="G22" s="7" t="n">
        <v>0</v>
      </c>
      <c r="H22" s="7" t="n">
        <v>0</v>
      </c>
      <c r="I22" s="7" t="n">
        <v>0</v>
      </c>
      <c r="J22" s="7" t="n">
        <v>0</v>
      </c>
      <c r="K22" s="7" t="n">
        <v>0</v>
      </c>
      <c r="L22" s="7" t="n">
        <v>0</v>
      </c>
      <c r="M22" s="7" t="n">
        <v>0</v>
      </c>
      <c r="N22" s="7" t="n">
        <v>0</v>
      </c>
      <c r="O22" s="7" t="n">
        <v>0</v>
      </c>
      <c r="P22" s="7" t="n">
        <v>0</v>
      </c>
      <c r="Q22" s="7" t="n">
        <v>2000000</v>
      </c>
      <c r="R22" s="7" t="n">
        <v>0</v>
      </c>
      <c r="S22" s="7" t="n">
        <v>0</v>
      </c>
      <c r="T22" s="7" t="n">
        <v>0</v>
      </c>
      <c r="U22" s="7" t="n">
        <v>0</v>
      </c>
      <c r="V22" s="7" t="n">
        <v>0</v>
      </c>
      <c r="W22" s="7" t="n">
        <v>3000000</v>
      </c>
      <c r="X22" s="7" t="n">
        <v>0</v>
      </c>
      <c r="Y22" s="7" t="n">
        <v>0</v>
      </c>
      <c r="Z22" s="7" t="n">
        <v>0</v>
      </c>
      <c r="AA22" s="7" t="n">
        <v>0</v>
      </c>
      <c r="AB22" s="7" t="n">
        <v>0</v>
      </c>
      <c r="AC22" s="7" t="n">
        <v>4500000</v>
      </c>
      <c r="AD22" s="7" t="n">
        <v>0</v>
      </c>
      <c r="AE22" s="7" t="n">
        <v>0</v>
      </c>
      <c r="AF22" s="7" t="n">
        <v>0</v>
      </c>
      <c r="AG22" s="7" t="n">
        <v>0</v>
      </c>
      <c r="AH22" s="7" t="n">
        <v>0</v>
      </c>
      <c r="AI22" s="7" t="n">
        <v>6000000</v>
      </c>
      <c r="AJ22" s="7" t="n">
        <v>0</v>
      </c>
      <c r="AK22" s="7" t="n">
        <v>0</v>
      </c>
      <c r="AL22" s="7" t="n">
        <v>0</v>
      </c>
      <c r="AM22" s="7" t="n">
        <v>0</v>
      </c>
      <c r="AN22" s="7" t="n">
        <v>0</v>
      </c>
      <c r="AO22" s="7" t="n">
        <v>7000000</v>
      </c>
      <c r="AP22" s="9" t="n">
        <f aca="false">SUM(F22:M22)</f>
        <v>0</v>
      </c>
      <c r="AQ22" s="9" t="n">
        <f aca="false">SUM(N22:Y22)</f>
        <v>5000000</v>
      </c>
      <c r="AR22" s="9" t="n">
        <f aca="false">SUM(Z22:AK22)</f>
        <v>10500000</v>
      </c>
      <c r="AS22" s="9" t="n">
        <f aca="false">SUM(AL22:AO22)</f>
        <v>7000000</v>
      </c>
      <c r="AT22" s="2" t="s">
        <v>80</v>
      </c>
    </row>
    <row r="24" customFormat="false" ht="15" hidden="false" customHeight="false" outlineLevel="0" collapsed="false">
      <c r="A24" s="18" t="s">
        <v>102</v>
      </c>
      <c r="B24" s="19"/>
      <c r="C24" s="19"/>
      <c r="D24" s="19"/>
      <c r="E24" s="19"/>
      <c r="F24" s="20" t="n">
        <f aca="false">SUM(F5:F14)</f>
        <v>0</v>
      </c>
      <c r="G24" s="20" t="n">
        <f aca="false">SUM(G5:G14)</f>
        <v>0</v>
      </c>
      <c r="H24" s="20" t="n">
        <f aca="false">SUM(H5:H14)</f>
        <v>0</v>
      </c>
      <c r="I24" s="20" t="n">
        <f aca="false">SUM(I5:I14)</f>
        <v>0</v>
      </c>
      <c r="J24" s="20" t="n">
        <f aca="false">SUM(J5:J14)</f>
        <v>810000</v>
      </c>
      <c r="K24" s="20" t="n">
        <f aca="false">SUM(K5:K14)</f>
        <v>1836000</v>
      </c>
      <c r="L24" s="20" t="n">
        <f aca="false">SUM(L5:L14)</f>
        <v>2502000</v>
      </c>
      <c r="M24" s="20" t="n">
        <f aca="false">SUM(M5:M14)</f>
        <v>2952000</v>
      </c>
      <c r="N24" s="20" t="n">
        <f aca="false">SUM(N5:N14)</f>
        <v>3825000</v>
      </c>
      <c r="O24" s="20" t="n">
        <f aca="false">SUM(O5:O14)</f>
        <v>5729136</v>
      </c>
      <c r="P24" s="20" t="n">
        <f aca="false">SUM(P5:P14)</f>
        <v>9490592</v>
      </c>
      <c r="Q24" s="20" t="n">
        <f aca="false">SUM(Q5:Q14)</f>
        <v>11077592</v>
      </c>
      <c r="R24" s="20" t="n">
        <f aca="false">SUM(R5:R14)</f>
        <v>11821646</v>
      </c>
      <c r="S24" s="20" t="n">
        <f aca="false">SUM(S5:S14)</f>
        <v>13039253</v>
      </c>
      <c r="T24" s="20" t="n">
        <f aca="false">SUM(T5:T14)</f>
        <v>14304818</v>
      </c>
      <c r="U24" s="20" t="n">
        <f aca="false">SUM(U5:U14)</f>
        <v>17117853</v>
      </c>
      <c r="V24" s="20" t="n">
        <f aca="false">SUM(V5:V14)</f>
        <v>22370387</v>
      </c>
      <c r="W24" s="20" t="n">
        <f aca="false">SUM(W5:W14)</f>
        <v>24473055</v>
      </c>
      <c r="X24" s="20" t="n">
        <f aca="false">SUM(X5:X14)</f>
        <v>24971454</v>
      </c>
      <c r="Y24" s="20" t="n">
        <f aca="false">SUM(Y5:Y14)</f>
        <v>25115981</v>
      </c>
      <c r="Z24" s="20" t="n">
        <f aca="false">SUM(Z5:Z14)</f>
        <v>27329344</v>
      </c>
      <c r="AA24" s="20" t="n">
        <f aca="false">SUM(AA5:AA14)</f>
        <v>30846933</v>
      </c>
      <c r="AB24" s="20" t="n">
        <f aca="false">SUM(AB5:AB14)</f>
        <v>39614219</v>
      </c>
      <c r="AC24" s="20" t="n">
        <f aca="false">SUM(AC5:AC14)</f>
        <v>42557155</v>
      </c>
      <c r="AD24" s="20" t="n">
        <f aca="false">SUM(AD5:AD14)</f>
        <v>42703025</v>
      </c>
      <c r="AE24" s="20" t="n">
        <f aca="false">SUM(AE5:AE14)</f>
        <v>42967382</v>
      </c>
      <c r="AF24" s="20" t="n">
        <f aca="false">SUM(AF5:AF14)</f>
        <v>44605013</v>
      </c>
      <c r="AG24" s="20" t="n">
        <f aca="false">SUM(AG5:AG14)</f>
        <v>49029099</v>
      </c>
      <c r="AH24" s="20" t="n">
        <f aca="false">SUM(AH5:AH14)</f>
        <v>57480830</v>
      </c>
      <c r="AI24" s="20" t="n">
        <f aca="false">SUM(AI5:AI14)</f>
        <v>59651574</v>
      </c>
      <c r="AJ24" s="20" t="n">
        <f aca="false">SUM(AJ5:AJ14)</f>
        <v>58577753</v>
      </c>
      <c r="AK24" s="20" t="n">
        <f aca="false">SUM(AK5:AK14)</f>
        <v>56908886</v>
      </c>
      <c r="AL24" s="20" t="n">
        <f aca="false">SUM(AL5:AL14)</f>
        <v>58535963</v>
      </c>
      <c r="AM24" s="20" t="n">
        <f aca="false">SUM(AM5:AM14)</f>
        <v>62310014</v>
      </c>
      <c r="AN24" s="20" t="n">
        <f aca="false">SUM(AN5:AN14)</f>
        <v>67965405</v>
      </c>
      <c r="AO24" s="20" t="n">
        <f aca="false">SUM(AO5:AO14)</f>
        <v>70383117</v>
      </c>
      <c r="AP24" s="20" t="n">
        <f aca="false">SUM(AP5:AP14)</f>
        <v>8100000</v>
      </c>
      <c r="AQ24" s="20" t="n">
        <f aca="false">SUM(AQ5:AQ14)</f>
        <v>183336767</v>
      </c>
      <c r="AR24" s="20" t="n">
        <f aca="false">SUM(AR5:AR14)</f>
        <v>552271213</v>
      </c>
      <c r="AS24" s="20" t="n">
        <f aca="false">SUM(AS5:AS14)</f>
        <v>259194499</v>
      </c>
    </row>
    <row r="25" customFormat="false" ht="15" hidden="false" customHeight="false" outlineLevel="0" collapsed="false">
      <c r="A25" s="18" t="s">
        <v>103</v>
      </c>
      <c r="B25" s="19"/>
      <c r="C25" s="19"/>
      <c r="D25" s="19"/>
      <c r="E25" s="19"/>
      <c r="F25" s="20" t="n">
        <f aca="false">SUM(F15:F18)</f>
        <v>0</v>
      </c>
      <c r="G25" s="20" t="n">
        <f aca="false">SUM(G15:G18)</f>
        <v>0</v>
      </c>
      <c r="H25" s="20" t="n">
        <f aca="false">SUM(H15:H18)</f>
        <v>0</v>
      </c>
      <c r="I25" s="20" t="n">
        <f aca="false">SUM(I15:I18)</f>
        <v>0</v>
      </c>
      <c r="J25" s="20" t="n">
        <f aca="false">SUM(J15:J18)</f>
        <v>0</v>
      </c>
      <c r="K25" s="20" t="n">
        <f aca="false">SUM(K15:K18)</f>
        <v>0</v>
      </c>
      <c r="L25" s="20" t="n">
        <f aca="false">SUM(L15:L18)</f>
        <v>0</v>
      </c>
      <c r="M25" s="20" t="n">
        <f aca="false">SUM(M15:M18)</f>
        <v>0</v>
      </c>
      <c r="N25" s="20" t="n">
        <f aca="false">SUM(N15:N18)</f>
        <v>0</v>
      </c>
      <c r="O25" s="20" t="n">
        <f aca="false">SUM(O15:O18)</f>
        <v>0</v>
      </c>
      <c r="P25" s="20" t="n">
        <f aca="false">SUM(P15:P18)</f>
        <v>840000</v>
      </c>
      <c r="Q25" s="20" t="n">
        <f aca="false">SUM(Q15:Q18)</f>
        <v>806400</v>
      </c>
      <c r="R25" s="20" t="n">
        <f aca="false">SUM(R15:R18)</f>
        <v>1127376</v>
      </c>
      <c r="S25" s="20" t="n">
        <f aca="false">SUM(S15:S18)</f>
        <v>1134366</v>
      </c>
      <c r="T25" s="20" t="n">
        <f aca="false">SUM(T15:T18)</f>
        <v>1444825</v>
      </c>
      <c r="U25" s="20" t="n">
        <f aca="false">SUM(U15:U18)</f>
        <v>2181411</v>
      </c>
      <c r="V25" s="20" t="n">
        <f aca="false">SUM(V15:V18)</f>
        <v>3088195</v>
      </c>
      <c r="W25" s="20" t="n">
        <f aca="false">SUM(W15:W18)</f>
        <v>2798504</v>
      </c>
      <c r="X25" s="20" t="n">
        <f aca="false">SUM(X15:X18)</f>
        <v>2377897</v>
      </c>
      <c r="Y25" s="20" t="n">
        <f aca="false">SUM(Y15:Y18)</f>
        <v>2095700</v>
      </c>
      <c r="Z25" s="20" t="n">
        <f aca="false">SUM(Z15:Z18)</f>
        <v>2841165</v>
      </c>
      <c r="AA25" s="20" t="n">
        <f aca="false">SUM(AA15:AA18)</f>
        <v>3661670</v>
      </c>
      <c r="AB25" s="20" t="n">
        <f aca="false">SUM(AB15:AB18)</f>
        <v>4914243</v>
      </c>
      <c r="AC25" s="20" t="n">
        <f aca="false">SUM(AC15:AC18)</f>
        <v>4441829</v>
      </c>
      <c r="AD25" s="20" t="n">
        <f aca="false">SUM(AD15:AD18)</f>
        <v>3513052</v>
      </c>
      <c r="AE25" s="20" t="n">
        <f aca="false">SUM(AE15:AE18)</f>
        <v>3293087</v>
      </c>
      <c r="AF25" s="20" t="n">
        <f aca="false">SUM(AF15:AF18)</f>
        <v>3906939</v>
      </c>
      <c r="AG25" s="20" t="n">
        <f aca="false">SUM(AG15:AG18)</f>
        <v>5493713</v>
      </c>
      <c r="AH25" s="20" t="n">
        <f aca="false">SUM(AH15:AH18)</f>
        <v>7242296</v>
      </c>
      <c r="AI25" s="20" t="n">
        <f aca="false">SUM(AI15:AI18)</f>
        <v>6110492</v>
      </c>
      <c r="AJ25" s="20" t="n">
        <f aca="false">SUM(AJ15:AJ18)</f>
        <v>4833450</v>
      </c>
      <c r="AK25" s="20" t="n">
        <f aca="false">SUM(AK15:AK18)</f>
        <v>3964991</v>
      </c>
      <c r="AL25" s="20" t="n">
        <f aca="false">SUM(AL15:AL18)</f>
        <v>5250780</v>
      </c>
      <c r="AM25" s="20" t="n">
        <f aca="false">SUM(AM15:AM18)</f>
        <v>6610149</v>
      </c>
      <c r="AN25" s="20" t="n">
        <f aca="false">SUM(AN15:AN18)</f>
        <v>8665304</v>
      </c>
      <c r="AO25" s="20" t="n">
        <f aca="false">SUM(AO15:AO18)</f>
        <v>7650226</v>
      </c>
      <c r="AP25" s="20" t="n">
        <f aca="false">SUM(AP15:AP18)</f>
        <v>0</v>
      </c>
      <c r="AQ25" s="20" t="n">
        <f aca="false">SUM(AQ15:AQ18)</f>
        <v>17894674</v>
      </c>
      <c r="AR25" s="20" t="n">
        <f aca="false">SUM(AR15:AR18)</f>
        <v>54216927</v>
      </c>
      <c r="AS25" s="20" t="n">
        <f aca="false">SUM(AS15:AS18)</f>
        <v>28176459</v>
      </c>
    </row>
    <row r="26" customFormat="false" ht="15" hidden="false" customHeight="false" outlineLevel="0" collapsed="false">
      <c r="A26" s="18" t="s">
        <v>104</v>
      </c>
      <c r="B26" s="19"/>
      <c r="C26" s="19"/>
      <c r="D26" s="19"/>
      <c r="E26" s="19"/>
      <c r="F26" s="20" t="n">
        <f aca="false">SUM(F19:F22)</f>
        <v>1500000</v>
      </c>
      <c r="G26" s="20" t="n">
        <f aca="false">SUM(G19:G22)</f>
        <v>2600000</v>
      </c>
      <c r="H26" s="20" t="n">
        <f aca="false">SUM(H19:H22)</f>
        <v>3200000</v>
      </c>
      <c r="I26" s="20" t="n">
        <f aca="false">SUM(I19:I22)</f>
        <v>3600000</v>
      </c>
      <c r="J26" s="20" t="n">
        <f aca="false">SUM(J19:J22)</f>
        <v>4200000</v>
      </c>
      <c r="K26" s="20" t="n">
        <f aca="false">SUM(K19:K22)</f>
        <v>3900000</v>
      </c>
      <c r="L26" s="20" t="n">
        <f aca="false">SUM(L19:L22)</f>
        <v>6700000</v>
      </c>
      <c r="M26" s="20" t="n">
        <f aca="false">SUM(M19:M22)</f>
        <v>3477876</v>
      </c>
      <c r="N26" s="20" t="n">
        <f aca="false">SUM(N19:N22)</f>
        <v>2970000</v>
      </c>
      <c r="O26" s="20" t="n">
        <f aca="false">SUM(O19:O22)</f>
        <v>3666300</v>
      </c>
      <c r="P26" s="20" t="n">
        <f aca="false">SUM(P19:P22)</f>
        <v>4712862</v>
      </c>
      <c r="Q26" s="20" t="n">
        <f aca="false">SUM(Q19:Q22)</f>
        <v>13329992</v>
      </c>
      <c r="R26" s="20" t="n">
        <f aca="false">SUM(R19:R22)</f>
        <v>3090594</v>
      </c>
      <c r="S26" s="20" t="n">
        <f aca="false">SUM(S19:S22)</f>
        <v>2774667</v>
      </c>
      <c r="T26" s="20" t="n">
        <f aca="false">SUM(T19:T22)</f>
        <v>4402715</v>
      </c>
      <c r="U26" s="20" t="n">
        <f aca="false">SUM(U19:U22)</f>
        <v>4245656</v>
      </c>
      <c r="V26" s="20" t="n">
        <f aca="false">SUM(V19:V22)</f>
        <v>5360141</v>
      </c>
      <c r="W26" s="20" t="n">
        <f aca="false">SUM(W19:W22)</f>
        <v>18280994</v>
      </c>
      <c r="X26" s="20" t="n">
        <f aca="false">SUM(X19:X22)</f>
        <v>3280728</v>
      </c>
      <c r="Y26" s="20" t="n">
        <f aca="false">SUM(Y19:Y22)</f>
        <v>2577194</v>
      </c>
      <c r="Z26" s="20" t="n">
        <f aca="false">SUM(Z19:Z22)</f>
        <v>5096670</v>
      </c>
      <c r="AA26" s="20" t="n">
        <f aca="false">SUM(AA19:AA22)</f>
        <v>4131279</v>
      </c>
      <c r="AB26" s="20" t="n">
        <f aca="false">SUM(AB19:AB22)</f>
        <v>5310571</v>
      </c>
      <c r="AC26" s="20" t="n">
        <f aca="false">SUM(AC19:AC22)</f>
        <v>24597437</v>
      </c>
      <c r="AD26" s="20" t="n">
        <f aca="false">SUM(AD19:AD22)</f>
        <v>3482559</v>
      </c>
      <c r="AE26" s="20" t="n">
        <f aca="false">SUM(AE19:AE22)</f>
        <v>3126564</v>
      </c>
      <c r="AF26" s="20" t="n">
        <f aca="false">SUM(AF19:AF22)</f>
        <v>5802558</v>
      </c>
      <c r="AG26" s="20" t="n">
        <f aca="false">SUM(AG19:AG22)</f>
        <v>4784111</v>
      </c>
      <c r="AH26" s="20" t="n">
        <f aca="false">SUM(AH19:AH22)</f>
        <v>6039941</v>
      </c>
      <c r="AI26" s="20" t="n">
        <f aca="false">SUM(AI19:AI22)</f>
        <v>29880272</v>
      </c>
      <c r="AJ26" s="20" t="n">
        <f aca="false">SUM(AJ19:AJ22)</f>
        <v>3696806</v>
      </c>
      <c r="AK26" s="20" t="n">
        <f aca="false">SUM(AK19:AK22)</f>
        <v>2904047</v>
      </c>
      <c r="AL26" s="20" t="n">
        <f aca="false">SUM(AL19:AL22)</f>
        <v>6521112</v>
      </c>
      <c r="AM26" s="20" t="n">
        <f aca="false">SUM(AM19:AM22)</f>
        <v>4655228</v>
      </c>
      <c r="AN26" s="20" t="n">
        <f aca="false">SUM(AN19:AN22)</f>
        <v>5984084</v>
      </c>
      <c r="AO26" s="20" t="n">
        <f aca="false">SUM(AO19:AO22)</f>
        <v>35980507</v>
      </c>
      <c r="AP26" s="20" t="n">
        <f aca="false">SUM(AP19:AP22)</f>
        <v>29177876</v>
      </c>
      <c r="AQ26" s="20" t="n">
        <f aca="false">SUM(AQ19:AQ22)</f>
        <v>68691843</v>
      </c>
      <c r="AR26" s="20" t="n">
        <f aca="false">SUM(AR19:AR22)</f>
        <v>98852815</v>
      </c>
      <c r="AS26" s="20" t="n">
        <f aca="false">SUM(AS19:AS22)</f>
        <v>53140931</v>
      </c>
    </row>
    <row r="27" customFormat="false" ht="15" hidden="false" customHeight="false" outlineLevel="0" collapsed="false">
      <c r="A27" s="21" t="s">
        <v>105</v>
      </c>
      <c r="B27" s="22"/>
      <c r="C27" s="22"/>
      <c r="D27" s="22"/>
      <c r="E27" s="22"/>
      <c r="F27" s="23" t="n">
        <f aca="false">SUM(F5:F22)</f>
        <v>1500000</v>
      </c>
      <c r="G27" s="23" t="n">
        <f aca="false">SUM(G5:G22)</f>
        <v>2600000</v>
      </c>
      <c r="H27" s="23" t="n">
        <f aca="false">SUM(H5:H22)</f>
        <v>3200000</v>
      </c>
      <c r="I27" s="23" t="n">
        <f aca="false">SUM(I5:I22)</f>
        <v>3600000</v>
      </c>
      <c r="J27" s="23" t="n">
        <f aca="false">SUM(J5:J22)</f>
        <v>5010000</v>
      </c>
      <c r="K27" s="23" t="n">
        <f aca="false">SUM(K5:K22)</f>
        <v>5736000</v>
      </c>
      <c r="L27" s="23" t="n">
        <f aca="false">SUM(L5:L22)</f>
        <v>9202000</v>
      </c>
      <c r="M27" s="23" t="n">
        <f aca="false">SUM(M5:M22)</f>
        <v>6429876</v>
      </c>
      <c r="N27" s="23" t="n">
        <f aca="false">SUM(N5:N22)</f>
        <v>6795000</v>
      </c>
      <c r="O27" s="23" t="n">
        <f aca="false">SUM(O5:O22)</f>
        <v>9395436</v>
      </c>
      <c r="P27" s="23" t="n">
        <f aca="false">SUM(P5:P22)</f>
        <v>15043454</v>
      </c>
      <c r="Q27" s="23" t="n">
        <f aca="false">SUM(Q5:Q22)</f>
        <v>25213984</v>
      </c>
      <c r="R27" s="23" t="n">
        <f aca="false">SUM(R5:R22)</f>
        <v>16039616</v>
      </c>
      <c r="S27" s="23" t="n">
        <f aca="false">SUM(S5:S22)</f>
        <v>16948286</v>
      </c>
      <c r="T27" s="23" t="n">
        <f aca="false">SUM(T5:T22)</f>
        <v>20152358</v>
      </c>
      <c r="U27" s="23" t="n">
        <f aca="false">SUM(U5:U22)</f>
        <v>23544920</v>
      </c>
      <c r="V27" s="23" t="n">
        <f aca="false">SUM(V5:V22)</f>
        <v>30818723</v>
      </c>
      <c r="W27" s="23" t="n">
        <f aca="false">SUM(W5:W22)</f>
        <v>45552553</v>
      </c>
      <c r="X27" s="23" t="n">
        <f aca="false">SUM(X5:X22)</f>
        <v>30630079</v>
      </c>
      <c r="Y27" s="23" t="n">
        <f aca="false">SUM(Y5:Y22)</f>
        <v>29788875</v>
      </c>
      <c r="Z27" s="23" t="n">
        <f aca="false">SUM(Z5:Z22)</f>
        <v>35267179</v>
      </c>
      <c r="AA27" s="23" t="n">
        <f aca="false">SUM(AA5:AA22)</f>
        <v>38639882</v>
      </c>
      <c r="AB27" s="23" t="n">
        <f aca="false">SUM(AB5:AB22)</f>
        <v>49839033</v>
      </c>
      <c r="AC27" s="23" t="n">
        <f aca="false">SUM(AC5:AC22)</f>
        <v>71596421</v>
      </c>
      <c r="AD27" s="23" t="n">
        <f aca="false">SUM(AD5:AD22)</f>
        <v>49698636</v>
      </c>
      <c r="AE27" s="23" t="n">
        <f aca="false">SUM(AE5:AE22)</f>
        <v>49387033</v>
      </c>
      <c r="AF27" s="23" t="n">
        <f aca="false">SUM(AF5:AF22)</f>
        <v>54314510</v>
      </c>
      <c r="AG27" s="23" t="n">
        <f aca="false">SUM(AG5:AG22)</f>
        <v>59306923</v>
      </c>
      <c r="AH27" s="23" t="n">
        <f aca="false">SUM(AH5:AH22)</f>
        <v>70763067</v>
      </c>
      <c r="AI27" s="23" t="n">
        <f aca="false">SUM(AI5:AI22)</f>
        <v>95642338</v>
      </c>
      <c r="AJ27" s="23" t="n">
        <f aca="false">SUM(AJ5:AJ22)</f>
        <v>67108009</v>
      </c>
      <c r="AK27" s="23" t="n">
        <f aca="false">SUM(AK5:AK22)</f>
        <v>63777924</v>
      </c>
      <c r="AL27" s="23" t="n">
        <f aca="false">SUM(AL5:AL22)</f>
        <v>70307855</v>
      </c>
      <c r="AM27" s="23" t="n">
        <f aca="false">SUM(AM5:AM22)</f>
        <v>73575391</v>
      </c>
      <c r="AN27" s="23" t="n">
        <f aca="false">SUM(AN5:AN22)</f>
        <v>82614793</v>
      </c>
      <c r="AO27" s="23" t="n">
        <f aca="false">SUM(AO5:AO22)</f>
        <v>114013850</v>
      </c>
      <c r="AP27" s="23" t="n">
        <f aca="false">SUM(AP5:AP22)</f>
        <v>37277876</v>
      </c>
      <c r="AQ27" s="23" t="n">
        <f aca="false">SUM(AQ5:AQ22)</f>
        <v>269923284</v>
      </c>
      <c r="AR27" s="23" t="n">
        <f aca="false">SUM(AR5:AR22)</f>
        <v>705340955</v>
      </c>
      <c r="AS27" s="23" t="n">
        <f aca="false">SUM(AS5:AS22)</f>
        <v>340511889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T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4"/>
    <col collapsed="false" customWidth="true" hidden="false" outlineLevel="0" max="3" min="3" style="0" width="30"/>
    <col collapsed="false" customWidth="true" hidden="false" outlineLevel="0" max="4" min="4" style="0" width="40"/>
    <col collapsed="false" customWidth="true" hidden="false" outlineLevel="0" max="5" min="5" style="0" width="26"/>
    <col collapsed="false" customWidth="true" hidden="false" outlineLevel="0" max="41" min="6" style="0" width="13"/>
    <col collapsed="false" customWidth="true" hidden="false" outlineLevel="0" max="45" min="42" style="0" width="16"/>
    <col collapsed="false" customWidth="true" hidden="false" outlineLevel="0" max="46" min="46" style="0" width="40"/>
  </cols>
  <sheetData>
    <row r="1" customFormat="false" ht="17.15" hidden="false" customHeight="false" outlineLevel="0" collapsed="false">
      <c r="A1" s="1" t="s">
        <v>106</v>
      </c>
    </row>
    <row r="2" customFormat="false" ht="15" hidden="false" customHeight="false" outlineLevel="0" collapsed="false">
      <c r="A2" s="24" t="s">
        <v>107</v>
      </c>
    </row>
    <row r="3" customFormat="false" ht="30" hidden="false" customHeight="true" outlineLevel="0" collapsed="false">
      <c r="A3" s="11" t="s">
        <v>26</v>
      </c>
      <c r="B3" s="11" t="s">
        <v>27</v>
      </c>
      <c r="C3" s="11" t="s">
        <v>28</v>
      </c>
      <c r="D3" s="11" t="s">
        <v>29</v>
      </c>
      <c r="E3" s="11" t="s">
        <v>30</v>
      </c>
      <c r="F3" s="12" t="s">
        <v>31</v>
      </c>
      <c r="G3" s="12" t="s">
        <v>32</v>
      </c>
      <c r="H3" s="12" t="s">
        <v>33</v>
      </c>
      <c r="I3" s="12" t="s">
        <v>34</v>
      </c>
      <c r="J3" s="12" t="s">
        <v>35</v>
      </c>
      <c r="K3" s="12" t="s">
        <v>36</v>
      </c>
      <c r="L3" s="12" t="s">
        <v>37</v>
      </c>
      <c r="M3" s="12" t="s">
        <v>38</v>
      </c>
      <c r="N3" s="12" t="s">
        <v>39</v>
      </c>
      <c r="O3" s="12" t="s">
        <v>40</v>
      </c>
      <c r="P3" s="12" t="s">
        <v>41</v>
      </c>
      <c r="Q3" s="12" t="s">
        <v>42</v>
      </c>
      <c r="R3" s="12" t="s">
        <v>43</v>
      </c>
      <c r="S3" s="12" t="s">
        <v>44</v>
      </c>
      <c r="T3" s="12" t="s">
        <v>45</v>
      </c>
      <c r="U3" s="12" t="s">
        <v>46</v>
      </c>
      <c r="V3" s="12" t="s">
        <v>47</v>
      </c>
      <c r="W3" s="12" t="s">
        <v>48</v>
      </c>
      <c r="X3" s="12" t="s">
        <v>49</v>
      </c>
      <c r="Y3" s="12" t="s">
        <v>50</v>
      </c>
      <c r="Z3" s="12" t="s">
        <v>51</v>
      </c>
      <c r="AA3" s="12" t="s">
        <v>52</v>
      </c>
      <c r="AB3" s="12" t="s">
        <v>53</v>
      </c>
      <c r="AC3" s="12" t="s">
        <v>54</v>
      </c>
      <c r="AD3" s="12" t="s">
        <v>55</v>
      </c>
      <c r="AE3" s="12" t="s">
        <v>56</v>
      </c>
      <c r="AF3" s="12" t="s">
        <v>57</v>
      </c>
      <c r="AG3" s="12" t="s">
        <v>58</v>
      </c>
      <c r="AH3" s="12" t="s">
        <v>59</v>
      </c>
      <c r="AI3" s="12" t="s">
        <v>60</v>
      </c>
      <c r="AJ3" s="12" t="s">
        <v>61</v>
      </c>
      <c r="AK3" s="12" t="s">
        <v>62</v>
      </c>
      <c r="AL3" s="12" t="s">
        <v>63</v>
      </c>
      <c r="AM3" s="12" t="s">
        <v>64</v>
      </c>
      <c r="AN3" s="12" t="s">
        <v>65</v>
      </c>
      <c r="AO3" s="12" t="s">
        <v>66</v>
      </c>
      <c r="AP3" s="12" t="s">
        <v>67</v>
      </c>
      <c r="AQ3" s="12" t="s">
        <v>68</v>
      </c>
      <c r="AR3" s="12" t="s">
        <v>69</v>
      </c>
      <c r="AS3" s="12" t="s">
        <v>70</v>
      </c>
      <c r="AT3" s="11" t="s">
        <v>71</v>
      </c>
    </row>
    <row r="4" customFormat="false" ht="15" hidden="false" customHeight="false" outlineLevel="0" collapsed="false">
      <c r="A4" s="10" t="s">
        <v>72</v>
      </c>
      <c r="F4" s="13" t="s">
        <v>73</v>
      </c>
      <c r="G4" s="13" t="s">
        <v>73</v>
      </c>
      <c r="H4" s="13" t="s">
        <v>73</v>
      </c>
      <c r="I4" s="13" t="s">
        <v>73</v>
      </c>
      <c r="J4" s="13" t="s">
        <v>73</v>
      </c>
      <c r="K4" s="13" t="s">
        <v>73</v>
      </c>
      <c r="L4" s="13" t="s">
        <v>73</v>
      </c>
      <c r="M4" s="13" t="s">
        <v>73</v>
      </c>
      <c r="N4" s="14" t="s">
        <v>74</v>
      </c>
      <c r="O4" s="14" t="s">
        <v>74</v>
      </c>
      <c r="P4" s="14" t="s">
        <v>74</v>
      </c>
      <c r="Q4" s="14" t="s">
        <v>74</v>
      </c>
      <c r="R4" s="14" t="s">
        <v>74</v>
      </c>
      <c r="S4" s="14" t="s">
        <v>74</v>
      </c>
      <c r="T4" s="14" t="s">
        <v>74</v>
      </c>
      <c r="U4" s="14" t="s">
        <v>74</v>
      </c>
      <c r="V4" s="14" t="s">
        <v>74</v>
      </c>
      <c r="W4" s="15" t="s">
        <v>74</v>
      </c>
      <c r="X4" s="15" t="s">
        <v>74</v>
      </c>
      <c r="Y4" s="15" t="s">
        <v>74</v>
      </c>
      <c r="Z4" s="15" t="s">
        <v>74</v>
      </c>
      <c r="AA4" s="15" t="s">
        <v>74</v>
      </c>
      <c r="AB4" s="15" t="s">
        <v>74</v>
      </c>
      <c r="AC4" s="15" t="s">
        <v>74</v>
      </c>
      <c r="AD4" s="15" t="s">
        <v>74</v>
      </c>
      <c r="AE4" s="15" t="s">
        <v>74</v>
      </c>
      <c r="AF4" s="15" t="s">
        <v>74</v>
      </c>
      <c r="AG4" s="15" t="s">
        <v>74</v>
      </c>
      <c r="AH4" s="15" t="s">
        <v>74</v>
      </c>
      <c r="AI4" s="15" t="s">
        <v>74</v>
      </c>
      <c r="AJ4" s="15" t="s">
        <v>74</v>
      </c>
      <c r="AK4" s="15" t="s">
        <v>74</v>
      </c>
      <c r="AL4" s="15" t="s">
        <v>74</v>
      </c>
      <c r="AM4" s="15" t="s">
        <v>74</v>
      </c>
      <c r="AN4" s="15" t="s">
        <v>74</v>
      </c>
      <c r="AO4" s="15" t="s">
        <v>74</v>
      </c>
      <c r="AP4" s="16" t="s">
        <v>75</v>
      </c>
      <c r="AQ4" s="16" t="s">
        <v>75</v>
      </c>
      <c r="AR4" s="16" t="s">
        <v>75</v>
      </c>
      <c r="AS4" s="16" t="s">
        <v>75</v>
      </c>
    </row>
    <row r="5" customFormat="false" ht="15" hidden="false" customHeight="false" outlineLevel="0" collapsed="false">
      <c r="A5" s="2" t="s">
        <v>108</v>
      </c>
      <c r="B5" s="2" t="s">
        <v>109</v>
      </c>
      <c r="C5" s="2" t="s">
        <v>110</v>
      </c>
      <c r="D5" s="17" t="s">
        <v>111</v>
      </c>
      <c r="E5" s="2" t="s">
        <v>112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378350</v>
      </c>
      <c r="K5" s="7" t="n">
        <v>414260</v>
      </c>
      <c r="L5" s="7" t="n">
        <v>437570</v>
      </c>
      <c r="M5" s="7" t="n">
        <v>453320</v>
      </c>
      <c r="N5" s="7" t="n">
        <v>483875</v>
      </c>
      <c r="O5" s="7" t="n">
        <v>550520</v>
      </c>
      <c r="P5" s="7" t="n">
        <v>682171</v>
      </c>
      <c r="Q5" s="7" t="n">
        <v>737716</v>
      </c>
      <c r="R5" s="7" t="n">
        <v>763758</v>
      </c>
      <c r="S5" s="7" t="n">
        <v>806374</v>
      </c>
      <c r="T5" s="7" t="n">
        <v>850669</v>
      </c>
      <c r="U5" s="7" t="n">
        <v>949125</v>
      </c>
      <c r="V5" s="7" t="n">
        <v>1132964</v>
      </c>
      <c r="W5" s="7" t="n">
        <v>1206557</v>
      </c>
      <c r="X5" s="7" t="n">
        <v>1224001</v>
      </c>
      <c r="Y5" s="7" t="n">
        <v>1229059</v>
      </c>
      <c r="Z5" s="7" t="n">
        <v>1306527</v>
      </c>
      <c r="AA5" s="7" t="n">
        <v>1429643</v>
      </c>
      <c r="AB5" s="7" t="n">
        <v>1736498</v>
      </c>
      <c r="AC5" s="7" t="n">
        <v>1839500</v>
      </c>
      <c r="AD5" s="7" t="n">
        <v>1844606</v>
      </c>
      <c r="AE5" s="7" t="n">
        <v>1853858</v>
      </c>
      <c r="AF5" s="7" t="n">
        <v>1911175</v>
      </c>
      <c r="AG5" s="7" t="n">
        <v>2066018</v>
      </c>
      <c r="AH5" s="7" t="n">
        <v>2361829</v>
      </c>
      <c r="AI5" s="7" t="n">
        <v>2437805</v>
      </c>
      <c r="AJ5" s="7" t="n">
        <v>2400221</v>
      </c>
      <c r="AK5" s="7" t="n">
        <v>2341811</v>
      </c>
      <c r="AL5" s="7" t="n">
        <v>2398759</v>
      </c>
      <c r="AM5" s="7" t="n">
        <v>2530850</v>
      </c>
      <c r="AN5" s="7" t="n">
        <v>2728789</v>
      </c>
      <c r="AO5" s="7" t="n">
        <v>2813409</v>
      </c>
      <c r="AP5" s="9" t="n">
        <f aca="false">SUM(F5:M5)</f>
        <v>1683500</v>
      </c>
      <c r="AQ5" s="9" t="n">
        <f aca="false">SUM(N5:Y5)</f>
        <v>10616789</v>
      </c>
      <c r="AR5" s="9" t="n">
        <f aca="false">SUM(Z5:AK5)</f>
        <v>23529491</v>
      </c>
      <c r="AS5" s="9" t="n">
        <f aca="false">SUM(AL5:AO5)</f>
        <v>10471807</v>
      </c>
      <c r="AT5" s="2" t="s">
        <v>113</v>
      </c>
    </row>
    <row r="6" customFormat="false" ht="15" hidden="false" customHeight="false" outlineLevel="0" collapsed="false">
      <c r="A6" s="2" t="s">
        <v>108</v>
      </c>
      <c r="B6" s="17" t="s">
        <v>114</v>
      </c>
      <c r="C6" s="17" t="s">
        <v>115</v>
      </c>
      <c r="D6" s="17" t="s">
        <v>116</v>
      </c>
      <c r="E6" s="2" t="s">
        <v>112</v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173250</v>
      </c>
      <c r="K6" s="7" t="n">
        <v>396900</v>
      </c>
      <c r="L6" s="7" t="n">
        <v>542150</v>
      </c>
      <c r="M6" s="7" t="n">
        <v>640500</v>
      </c>
      <c r="N6" s="7" t="n">
        <v>836850</v>
      </c>
      <c r="O6" s="7" t="n">
        <v>1359098</v>
      </c>
      <c r="P6" s="7" t="n">
        <v>2024338</v>
      </c>
      <c r="Q6" s="7" t="n">
        <v>2384341</v>
      </c>
      <c r="R6" s="7" t="n">
        <v>2496609</v>
      </c>
      <c r="S6" s="7" t="n">
        <v>2808264</v>
      </c>
      <c r="T6" s="7" t="n">
        <v>3093539</v>
      </c>
      <c r="U6" s="7" t="n">
        <v>3749526</v>
      </c>
      <c r="V6" s="7" t="n">
        <v>4564281</v>
      </c>
      <c r="W6" s="7" t="n">
        <v>4980457</v>
      </c>
      <c r="X6" s="7" t="n">
        <v>5003930</v>
      </c>
      <c r="Y6" s="7" t="n">
        <v>4978705</v>
      </c>
      <c r="Z6" s="7" t="n">
        <v>5452304</v>
      </c>
      <c r="AA6" s="7" t="n">
        <v>6244731</v>
      </c>
      <c r="AB6" s="7" t="n">
        <v>7324818</v>
      </c>
      <c r="AC6" s="7" t="n">
        <v>7885638</v>
      </c>
      <c r="AD6" s="7" t="n">
        <v>7802592</v>
      </c>
      <c r="AE6" s="7" t="n">
        <v>7794287</v>
      </c>
      <c r="AF6" s="7" t="n">
        <v>8123326</v>
      </c>
      <c r="AG6" s="7" t="n">
        <v>9090428</v>
      </c>
      <c r="AH6" s="7" t="n">
        <v>9995987</v>
      </c>
      <c r="AI6" s="7" t="n">
        <v>10338865</v>
      </c>
      <c r="AJ6" s="7" t="n">
        <v>9988936</v>
      </c>
      <c r="AK6" s="7" t="n">
        <v>9580272</v>
      </c>
      <c r="AL6" s="7" t="n">
        <v>9917514</v>
      </c>
      <c r="AM6" s="7" t="n">
        <v>10715549</v>
      </c>
      <c r="AN6" s="7" t="n">
        <v>11163949</v>
      </c>
      <c r="AO6" s="7" t="n">
        <v>11555899</v>
      </c>
      <c r="AP6" s="9" t="n">
        <f aca="false">SUM(F6:M6)</f>
        <v>1752800</v>
      </c>
      <c r="AQ6" s="9" t="n">
        <f aca="false">SUM(N6:Y6)</f>
        <v>38279938</v>
      </c>
      <c r="AR6" s="9" t="n">
        <f aca="false">SUM(Z6:AK6)</f>
        <v>99622184</v>
      </c>
      <c r="AS6" s="9" t="n">
        <f aca="false">SUM(AL6:AO6)</f>
        <v>43352911</v>
      </c>
      <c r="AT6" s="2" t="s">
        <v>113</v>
      </c>
    </row>
    <row r="7" customFormat="false" ht="15" hidden="false" customHeight="false" outlineLevel="0" collapsed="false">
      <c r="A7" s="2" t="s">
        <v>108</v>
      </c>
      <c r="B7" s="2" t="s">
        <v>117</v>
      </c>
      <c r="C7" s="17" t="s">
        <v>118</v>
      </c>
      <c r="D7" s="17" t="s">
        <v>116</v>
      </c>
      <c r="E7" s="2" t="s">
        <v>112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26730</v>
      </c>
      <c r="K7" s="7" t="n">
        <v>60588</v>
      </c>
      <c r="L7" s="7" t="n">
        <v>82566</v>
      </c>
      <c r="M7" s="7" t="n">
        <v>97416</v>
      </c>
      <c r="N7" s="7" t="n">
        <v>176103</v>
      </c>
      <c r="O7" s="7" t="n">
        <v>261688</v>
      </c>
      <c r="P7" s="7" t="n">
        <v>360082</v>
      </c>
      <c r="Q7" s="7" t="n">
        <v>391157</v>
      </c>
      <c r="R7" s="7" t="n">
        <v>383811</v>
      </c>
      <c r="S7" s="7" t="n">
        <v>394044</v>
      </c>
      <c r="T7" s="7" t="n">
        <v>447658</v>
      </c>
      <c r="U7" s="7" t="n">
        <v>570264</v>
      </c>
      <c r="V7" s="7" t="n">
        <v>739409</v>
      </c>
      <c r="W7" s="7" t="n">
        <v>752764</v>
      </c>
      <c r="X7" s="7" t="n">
        <v>723089</v>
      </c>
      <c r="Y7" s="7" t="n">
        <v>693448</v>
      </c>
      <c r="Z7" s="7" t="n">
        <v>835981</v>
      </c>
      <c r="AA7" s="7" t="n">
        <v>987290</v>
      </c>
      <c r="AB7" s="7" t="n">
        <v>1226190</v>
      </c>
      <c r="AC7" s="7" t="n">
        <v>1249068</v>
      </c>
      <c r="AD7" s="7" t="n">
        <v>1173045</v>
      </c>
      <c r="AE7" s="7" t="n">
        <v>1157054</v>
      </c>
      <c r="AF7" s="7" t="n">
        <v>1240845</v>
      </c>
      <c r="AG7" s="7" t="n">
        <v>1471307</v>
      </c>
      <c r="AH7" s="7" t="n">
        <v>1768486</v>
      </c>
      <c r="AI7" s="7" t="n">
        <v>1712606</v>
      </c>
      <c r="AJ7" s="7" t="n">
        <v>1586327</v>
      </c>
      <c r="AK7" s="7" t="n">
        <v>1472994</v>
      </c>
      <c r="AL7" s="7" t="n">
        <v>1630609</v>
      </c>
      <c r="AM7" s="7" t="n">
        <v>1820783</v>
      </c>
      <c r="AN7" s="7" t="n">
        <v>2142779</v>
      </c>
      <c r="AO7" s="7" t="n">
        <v>2107460</v>
      </c>
      <c r="AP7" s="9" t="n">
        <f aca="false">SUM(F7:M7)</f>
        <v>267300</v>
      </c>
      <c r="AQ7" s="9" t="n">
        <f aca="false">SUM(N7:Y7)</f>
        <v>5893517</v>
      </c>
      <c r="AR7" s="9" t="n">
        <f aca="false">SUM(Z7:AK7)</f>
        <v>15881193</v>
      </c>
      <c r="AS7" s="9" t="n">
        <f aca="false">SUM(AL7:AO7)</f>
        <v>7701631</v>
      </c>
      <c r="AT7" s="2" t="s">
        <v>113</v>
      </c>
    </row>
    <row r="8" customFormat="false" ht="15" hidden="false" customHeight="false" outlineLevel="0" collapsed="false">
      <c r="A8" s="2" t="s">
        <v>108</v>
      </c>
      <c r="B8" s="2" t="s">
        <v>109</v>
      </c>
      <c r="C8" s="2" t="s">
        <v>110</v>
      </c>
      <c r="D8" s="17" t="s">
        <v>119</v>
      </c>
      <c r="E8" s="2" t="s">
        <v>112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175200</v>
      </c>
      <c r="Q8" s="7" t="n">
        <v>174192</v>
      </c>
      <c r="R8" s="7" t="n">
        <v>181121</v>
      </c>
      <c r="S8" s="7" t="n">
        <v>181271</v>
      </c>
      <c r="T8" s="7" t="n">
        <v>189774</v>
      </c>
      <c r="U8" s="7" t="n">
        <v>209967</v>
      </c>
      <c r="V8" s="7" t="n">
        <v>234775</v>
      </c>
      <c r="W8" s="7" t="n">
        <v>226714</v>
      </c>
      <c r="X8" s="7" t="n">
        <v>215092</v>
      </c>
      <c r="Y8" s="7" t="n">
        <v>207285</v>
      </c>
      <c r="Z8" s="7" t="n">
        <v>227622</v>
      </c>
      <c r="AA8" s="7" t="n">
        <v>249987</v>
      </c>
      <c r="AB8" s="7" t="n">
        <v>284121</v>
      </c>
      <c r="AC8" s="7" t="n">
        <v>271165</v>
      </c>
      <c r="AD8" s="7" t="n">
        <v>245780</v>
      </c>
      <c r="AE8" s="7" t="n">
        <v>239737</v>
      </c>
      <c r="AF8" s="7" t="n">
        <v>256409</v>
      </c>
      <c r="AG8" s="7" t="n">
        <v>299549</v>
      </c>
      <c r="AH8" s="7" t="n">
        <v>347046</v>
      </c>
      <c r="AI8" s="7" t="n">
        <v>316165</v>
      </c>
      <c r="AJ8" s="7" t="n">
        <v>281370</v>
      </c>
      <c r="AK8" s="7" t="n">
        <v>257709</v>
      </c>
      <c r="AL8" s="7" t="n">
        <v>292638</v>
      </c>
      <c r="AM8" s="7" t="n">
        <v>329566</v>
      </c>
      <c r="AN8" s="7" t="n">
        <v>385394</v>
      </c>
      <c r="AO8" s="7" t="n">
        <v>357819</v>
      </c>
      <c r="AP8" s="9" t="n">
        <f aca="false">SUM(F8:M8)</f>
        <v>0</v>
      </c>
      <c r="AQ8" s="9" t="n">
        <f aca="false">SUM(N8:Y8)</f>
        <v>1995391</v>
      </c>
      <c r="AR8" s="9" t="n">
        <f aca="false">SUM(Z8:AK8)</f>
        <v>3276660</v>
      </c>
      <c r="AS8" s="9" t="n">
        <f aca="false">SUM(AL8:AO8)</f>
        <v>1365417</v>
      </c>
      <c r="AT8" s="2" t="s">
        <v>113</v>
      </c>
    </row>
    <row r="9" customFormat="false" ht="15" hidden="false" customHeight="false" outlineLevel="0" collapsed="false">
      <c r="A9" s="2" t="s">
        <v>108</v>
      </c>
      <c r="B9" s="2" t="s">
        <v>117</v>
      </c>
      <c r="C9" s="17" t="s">
        <v>118</v>
      </c>
      <c r="D9" s="17" t="s">
        <v>120</v>
      </c>
      <c r="E9" s="2" t="s">
        <v>112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126000</v>
      </c>
      <c r="Q9" s="7" t="n">
        <v>120960</v>
      </c>
      <c r="R9" s="7" t="n">
        <v>155606</v>
      </c>
      <c r="S9" s="7" t="n">
        <v>156355</v>
      </c>
      <c r="T9" s="7" t="n">
        <v>198870</v>
      </c>
      <c r="U9" s="7" t="n">
        <v>299836</v>
      </c>
      <c r="V9" s="7" t="n">
        <v>423877</v>
      </c>
      <c r="W9" s="7" t="n">
        <v>383571</v>
      </c>
      <c r="X9" s="7" t="n">
        <v>325458</v>
      </c>
      <c r="Y9" s="7" t="n">
        <v>286425</v>
      </c>
      <c r="Z9" s="7" t="n">
        <v>388110</v>
      </c>
      <c r="AA9" s="7" t="n">
        <v>499935</v>
      </c>
      <c r="AB9" s="7" t="n">
        <v>670606</v>
      </c>
      <c r="AC9" s="7" t="n">
        <v>605826</v>
      </c>
      <c r="AD9" s="7" t="n">
        <v>478902</v>
      </c>
      <c r="AE9" s="7" t="n">
        <v>448684</v>
      </c>
      <c r="AF9" s="7" t="n">
        <v>532045</v>
      </c>
      <c r="AG9" s="7" t="n">
        <v>747743</v>
      </c>
      <c r="AH9" s="7" t="n">
        <v>985228</v>
      </c>
      <c r="AI9" s="7" t="n">
        <v>830827</v>
      </c>
      <c r="AJ9" s="7" t="n">
        <v>656849</v>
      </c>
      <c r="AK9" s="7" t="n">
        <v>538547</v>
      </c>
      <c r="AL9" s="7" t="n">
        <v>713191</v>
      </c>
      <c r="AM9" s="7" t="n">
        <v>897828</v>
      </c>
      <c r="AN9" s="7" t="n">
        <v>1176971</v>
      </c>
      <c r="AO9" s="7" t="n">
        <v>1039097</v>
      </c>
      <c r="AP9" s="9" t="n">
        <f aca="false">SUM(F9:M9)</f>
        <v>0</v>
      </c>
      <c r="AQ9" s="9" t="n">
        <f aca="false">SUM(N9:Y9)</f>
        <v>2476958</v>
      </c>
      <c r="AR9" s="9" t="n">
        <f aca="false">SUM(Z9:AK9)</f>
        <v>7383302</v>
      </c>
      <c r="AS9" s="9" t="n">
        <f aca="false">SUM(AL9:AO9)</f>
        <v>3827087</v>
      </c>
      <c r="AT9" s="2" t="s">
        <v>113</v>
      </c>
    </row>
    <row r="10" customFormat="false" ht="15" hidden="false" customHeight="false" outlineLevel="0" collapsed="false">
      <c r="A10" s="2" t="s">
        <v>108</v>
      </c>
      <c r="B10" s="2" t="s">
        <v>121</v>
      </c>
      <c r="C10" s="2" t="s">
        <v>122</v>
      </c>
      <c r="D10" s="17" t="s">
        <v>123</v>
      </c>
      <c r="E10" s="2" t="s">
        <v>112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0</v>
      </c>
      <c r="AB10" s="7" t="n">
        <v>0</v>
      </c>
      <c r="AC10" s="7" t="n">
        <v>0</v>
      </c>
      <c r="AD10" s="7" t="n">
        <v>0</v>
      </c>
      <c r="AE10" s="7" t="n">
        <v>0</v>
      </c>
      <c r="AF10" s="7" t="n">
        <v>0</v>
      </c>
      <c r="AG10" s="7" t="n">
        <v>0</v>
      </c>
      <c r="AH10" s="7" t="n">
        <v>0</v>
      </c>
      <c r="AI10" s="7" t="n">
        <v>0</v>
      </c>
      <c r="AJ10" s="7" t="n">
        <v>0</v>
      </c>
      <c r="AK10" s="7" t="n">
        <v>0</v>
      </c>
      <c r="AL10" s="7" t="n">
        <v>0</v>
      </c>
      <c r="AM10" s="7" t="n">
        <v>0</v>
      </c>
      <c r="AN10" s="7" t="n">
        <v>0</v>
      </c>
      <c r="AO10" s="7" t="n">
        <v>0</v>
      </c>
      <c r="AP10" s="9" t="n">
        <f aca="false">SUM(F10:M10)</f>
        <v>0</v>
      </c>
      <c r="AQ10" s="9" t="n">
        <f aca="false">SUM(N10:Y10)</f>
        <v>0</v>
      </c>
      <c r="AR10" s="9" t="n">
        <f aca="false">SUM(Z10:AK10)</f>
        <v>0</v>
      </c>
      <c r="AS10" s="9" t="n">
        <f aca="false">SUM(AL10:AO10)</f>
        <v>0</v>
      </c>
      <c r="AT10" s="2" t="s">
        <v>124</v>
      </c>
    </row>
    <row r="11" customFormat="false" ht="15" hidden="false" customHeight="false" outlineLevel="0" collapsed="false">
      <c r="A11" s="2" t="s">
        <v>108</v>
      </c>
      <c r="B11" s="2" t="s">
        <v>125</v>
      </c>
      <c r="C11" s="2" t="s">
        <v>126</v>
      </c>
      <c r="D11" s="17" t="s">
        <v>123</v>
      </c>
      <c r="E11" s="2" t="s">
        <v>127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600000</v>
      </c>
      <c r="P11" s="7" t="n">
        <v>900000</v>
      </c>
      <c r="Q11" s="7" t="n">
        <v>900000</v>
      </c>
      <c r="R11" s="7" t="n">
        <v>900000</v>
      </c>
      <c r="S11" s="7" t="n">
        <v>900000</v>
      </c>
      <c r="T11" s="7" t="n">
        <v>900000</v>
      </c>
      <c r="U11" s="7" t="n">
        <v>900000</v>
      </c>
      <c r="V11" s="7" t="n">
        <v>900000</v>
      </c>
      <c r="W11" s="7" t="n">
        <v>900000</v>
      </c>
      <c r="X11" s="7" t="n">
        <v>900000</v>
      </c>
      <c r="Y11" s="7" t="n">
        <v>900000</v>
      </c>
      <c r="Z11" s="7" t="n">
        <v>1300000</v>
      </c>
      <c r="AA11" s="7" t="n">
        <v>1300000</v>
      </c>
      <c r="AB11" s="7" t="n">
        <v>1300000</v>
      </c>
      <c r="AC11" s="7" t="n">
        <v>1300000</v>
      </c>
      <c r="AD11" s="7" t="n">
        <v>1300000</v>
      </c>
      <c r="AE11" s="7" t="n">
        <v>1300000</v>
      </c>
      <c r="AF11" s="7" t="n">
        <v>1300000</v>
      </c>
      <c r="AG11" s="7" t="n">
        <v>1300000</v>
      </c>
      <c r="AH11" s="7" t="n">
        <v>1300000</v>
      </c>
      <c r="AI11" s="7" t="n">
        <v>1300000</v>
      </c>
      <c r="AJ11" s="7" t="n">
        <v>1300000</v>
      </c>
      <c r="AK11" s="7" t="n">
        <v>1300000</v>
      </c>
      <c r="AL11" s="7" t="n">
        <v>1500000</v>
      </c>
      <c r="AM11" s="7" t="n">
        <v>1500000</v>
      </c>
      <c r="AN11" s="7" t="n">
        <v>1500000</v>
      </c>
      <c r="AO11" s="7" t="n">
        <v>1500000</v>
      </c>
      <c r="AP11" s="9" t="n">
        <f aca="false">SUM(F11:M11)</f>
        <v>0</v>
      </c>
      <c r="AQ11" s="9" t="n">
        <f aca="false">SUM(N11:Y11)</f>
        <v>9600000</v>
      </c>
      <c r="AR11" s="9" t="n">
        <f aca="false">SUM(Z11:AK11)</f>
        <v>15600000</v>
      </c>
      <c r="AS11" s="9" t="n">
        <f aca="false">SUM(AL11:AO11)</f>
        <v>6000000</v>
      </c>
      <c r="AT11" s="2" t="s">
        <v>113</v>
      </c>
    </row>
    <row r="12" customFormat="false" ht="15" hidden="false" customHeight="false" outlineLevel="0" collapsed="false">
      <c r="A12" s="2" t="s">
        <v>108</v>
      </c>
      <c r="B12" s="2" t="s">
        <v>125</v>
      </c>
      <c r="C12" s="17" t="s">
        <v>128</v>
      </c>
      <c r="D12" s="17" t="s">
        <v>123</v>
      </c>
      <c r="E12" s="2" t="s">
        <v>127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110000</v>
      </c>
      <c r="Q12" s="7" t="n">
        <v>110000</v>
      </c>
      <c r="R12" s="7" t="n">
        <v>110000</v>
      </c>
      <c r="S12" s="7" t="n">
        <v>110000</v>
      </c>
      <c r="T12" s="7" t="n">
        <v>110000</v>
      </c>
      <c r="U12" s="7" t="n">
        <v>110000</v>
      </c>
      <c r="V12" s="7" t="n">
        <v>110000</v>
      </c>
      <c r="W12" s="7" t="n">
        <v>110000</v>
      </c>
      <c r="X12" s="7" t="n">
        <v>110000</v>
      </c>
      <c r="Y12" s="7" t="n">
        <v>110000</v>
      </c>
      <c r="Z12" s="7" t="n">
        <v>165000</v>
      </c>
      <c r="AA12" s="7" t="n">
        <v>165000</v>
      </c>
      <c r="AB12" s="7" t="n">
        <v>165000</v>
      </c>
      <c r="AC12" s="7" t="n">
        <v>165000</v>
      </c>
      <c r="AD12" s="7" t="n">
        <v>165000</v>
      </c>
      <c r="AE12" s="7" t="n">
        <v>165000</v>
      </c>
      <c r="AF12" s="7" t="n">
        <v>165000</v>
      </c>
      <c r="AG12" s="7" t="n">
        <v>165000</v>
      </c>
      <c r="AH12" s="7" t="n">
        <v>165000</v>
      </c>
      <c r="AI12" s="7" t="n">
        <v>165000</v>
      </c>
      <c r="AJ12" s="7" t="n">
        <v>165000</v>
      </c>
      <c r="AK12" s="7" t="n">
        <v>165000</v>
      </c>
      <c r="AL12" s="7" t="n">
        <v>165000</v>
      </c>
      <c r="AM12" s="7" t="n">
        <v>165000</v>
      </c>
      <c r="AN12" s="7" t="n">
        <v>165000</v>
      </c>
      <c r="AO12" s="7" t="n">
        <v>165000</v>
      </c>
      <c r="AP12" s="9" t="n">
        <f aca="false">SUM(F12:M12)</f>
        <v>0</v>
      </c>
      <c r="AQ12" s="9" t="n">
        <f aca="false">SUM(N12:Y12)</f>
        <v>1100000</v>
      </c>
      <c r="AR12" s="9" t="n">
        <f aca="false">SUM(Z12:AK12)</f>
        <v>1980000</v>
      </c>
      <c r="AS12" s="9" t="n">
        <f aca="false">SUM(AL12:AO12)</f>
        <v>660000</v>
      </c>
      <c r="AT12" s="2" t="s">
        <v>113</v>
      </c>
    </row>
    <row r="13" customFormat="false" ht="15" hidden="false" customHeight="false" outlineLevel="0" collapsed="false">
      <c r="A13" s="2" t="s">
        <v>108</v>
      </c>
      <c r="B13" s="2" t="s">
        <v>125</v>
      </c>
      <c r="C13" s="2" t="s">
        <v>129</v>
      </c>
      <c r="D13" s="17" t="s">
        <v>123</v>
      </c>
      <c r="E13" s="2" t="s">
        <v>112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133600</v>
      </c>
      <c r="Q13" s="7" t="n">
        <v>132256</v>
      </c>
      <c r="R13" s="7" t="n">
        <v>141495</v>
      </c>
      <c r="S13" s="7" t="n">
        <v>141695</v>
      </c>
      <c r="T13" s="7" t="n">
        <v>153032</v>
      </c>
      <c r="U13" s="7" t="n">
        <v>179956</v>
      </c>
      <c r="V13" s="7" t="n">
        <v>213034</v>
      </c>
      <c r="W13" s="7" t="n">
        <v>202286</v>
      </c>
      <c r="X13" s="7" t="n">
        <v>186789</v>
      </c>
      <c r="Y13" s="7" t="n">
        <v>176380</v>
      </c>
      <c r="Z13" s="7" t="n">
        <v>203496</v>
      </c>
      <c r="AA13" s="7" t="n">
        <v>233316</v>
      </c>
      <c r="AB13" s="7" t="n">
        <v>278828</v>
      </c>
      <c r="AC13" s="7" t="n">
        <v>261554</v>
      </c>
      <c r="AD13" s="7" t="n">
        <v>227707</v>
      </c>
      <c r="AE13" s="7" t="n">
        <v>219649</v>
      </c>
      <c r="AF13" s="7" t="n">
        <v>241879</v>
      </c>
      <c r="AG13" s="7" t="n">
        <v>299398</v>
      </c>
      <c r="AH13" s="7" t="n">
        <v>362728</v>
      </c>
      <c r="AI13" s="7" t="n">
        <v>321554</v>
      </c>
      <c r="AJ13" s="7" t="n">
        <v>275160</v>
      </c>
      <c r="AK13" s="7" t="n">
        <v>243613</v>
      </c>
      <c r="AL13" s="7" t="n">
        <v>290184</v>
      </c>
      <c r="AM13" s="7" t="n">
        <v>339421</v>
      </c>
      <c r="AN13" s="7" t="n">
        <v>413859</v>
      </c>
      <c r="AO13" s="7" t="n">
        <v>377093</v>
      </c>
      <c r="AP13" s="9" t="n">
        <f aca="false">SUM(F13:M13)</f>
        <v>0</v>
      </c>
      <c r="AQ13" s="9" t="n">
        <f aca="false">SUM(N13:Y13)</f>
        <v>1660523</v>
      </c>
      <c r="AR13" s="9" t="n">
        <f aca="false">SUM(Z13:AK13)</f>
        <v>3168882</v>
      </c>
      <c r="AS13" s="9" t="n">
        <f aca="false">SUM(AL13:AO13)</f>
        <v>1420557</v>
      </c>
      <c r="AT13" s="2" t="s">
        <v>113</v>
      </c>
    </row>
    <row r="14" customFormat="false" ht="15" hidden="false" customHeight="false" outlineLevel="0" collapsed="false">
      <c r="A14" s="2" t="s">
        <v>108</v>
      </c>
      <c r="B14" s="2" t="s">
        <v>130</v>
      </c>
      <c r="C14" s="2" t="s">
        <v>131</v>
      </c>
      <c r="D14" s="17" t="s">
        <v>132</v>
      </c>
      <c r="E14" s="2" t="s">
        <v>112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1800000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2500000</v>
      </c>
      <c r="R14" s="7" t="n">
        <v>0</v>
      </c>
      <c r="S14" s="7" t="n">
        <v>0</v>
      </c>
      <c r="T14" s="7" t="n">
        <v>0</v>
      </c>
      <c r="U14" s="7" t="n">
        <v>0</v>
      </c>
      <c r="V14" s="7" t="n">
        <v>0</v>
      </c>
      <c r="W14" s="7" t="n">
        <v>3000000</v>
      </c>
      <c r="X14" s="7" t="n">
        <v>0</v>
      </c>
      <c r="Y14" s="7" t="n">
        <v>0</v>
      </c>
      <c r="Z14" s="7" t="n">
        <v>0</v>
      </c>
      <c r="AA14" s="7" t="n">
        <v>0</v>
      </c>
      <c r="AB14" s="7" t="n">
        <v>0</v>
      </c>
      <c r="AC14" s="7" t="n">
        <v>3500000</v>
      </c>
      <c r="AD14" s="7" t="n">
        <v>0</v>
      </c>
      <c r="AE14" s="7" t="n">
        <v>0</v>
      </c>
      <c r="AF14" s="7" t="n">
        <v>0</v>
      </c>
      <c r="AG14" s="7" t="n">
        <v>0</v>
      </c>
      <c r="AH14" s="7" t="n">
        <v>0</v>
      </c>
      <c r="AI14" s="7" t="n">
        <v>4000000</v>
      </c>
      <c r="AJ14" s="7" t="n">
        <v>0</v>
      </c>
      <c r="AK14" s="7" t="n">
        <v>0</v>
      </c>
      <c r="AL14" s="7" t="n">
        <v>0</v>
      </c>
      <c r="AM14" s="7" t="n">
        <v>0</v>
      </c>
      <c r="AN14" s="7" t="n">
        <v>0</v>
      </c>
      <c r="AO14" s="7" t="n">
        <v>4500000</v>
      </c>
      <c r="AP14" s="9" t="n">
        <f aca="false">SUM(F14:M14)</f>
        <v>1800000</v>
      </c>
      <c r="AQ14" s="9" t="n">
        <f aca="false">SUM(N14:Y14)</f>
        <v>5500000</v>
      </c>
      <c r="AR14" s="9" t="n">
        <f aca="false">SUM(Z14:AK14)</f>
        <v>7500000</v>
      </c>
      <c r="AS14" s="9" t="n">
        <f aca="false">SUM(AL14:AO14)</f>
        <v>4500000</v>
      </c>
      <c r="AT14" s="2" t="s">
        <v>133</v>
      </c>
    </row>
    <row r="15" customFormat="false" ht="15" hidden="false" customHeight="false" outlineLevel="0" collapsed="false">
      <c r="A15" s="2" t="s">
        <v>108</v>
      </c>
      <c r="B15" s="2" t="s">
        <v>130</v>
      </c>
      <c r="C15" s="2" t="s">
        <v>134</v>
      </c>
      <c r="D15" s="17" t="s">
        <v>132</v>
      </c>
      <c r="E15" s="2" t="s">
        <v>112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1200000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2000000</v>
      </c>
      <c r="R15" s="7" t="n">
        <v>0</v>
      </c>
      <c r="S15" s="7" t="n">
        <v>0</v>
      </c>
      <c r="T15" s="7" t="n">
        <v>0</v>
      </c>
      <c r="U15" s="7" t="n">
        <v>0</v>
      </c>
      <c r="V15" s="7" t="n">
        <v>0</v>
      </c>
      <c r="W15" s="7" t="n">
        <v>2500000</v>
      </c>
      <c r="X15" s="7" t="n">
        <v>0</v>
      </c>
      <c r="Y15" s="7" t="n">
        <v>0</v>
      </c>
      <c r="Z15" s="7" t="n">
        <v>0</v>
      </c>
      <c r="AA15" s="7" t="n">
        <v>0</v>
      </c>
      <c r="AB15" s="7" t="n">
        <v>0</v>
      </c>
      <c r="AC15" s="7" t="n">
        <v>3000000</v>
      </c>
      <c r="AD15" s="7" t="n">
        <v>0</v>
      </c>
      <c r="AE15" s="7" t="n">
        <v>0</v>
      </c>
      <c r="AF15" s="7" t="n">
        <v>0</v>
      </c>
      <c r="AG15" s="7" t="n">
        <v>0</v>
      </c>
      <c r="AH15" s="7" t="n">
        <v>0</v>
      </c>
      <c r="AI15" s="7" t="n">
        <v>3500000</v>
      </c>
      <c r="AJ15" s="7" t="n">
        <v>0</v>
      </c>
      <c r="AK15" s="7" t="n">
        <v>0</v>
      </c>
      <c r="AL15" s="7" t="n">
        <v>0</v>
      </c>
      <c r="AM15" s="7" t="n">
        <v>0</v>
      </c>
      <c r="AN15" s="7" t="n">
        <v>0</v>
      </c>
      <c r="AO15" s="7" t="n">
        <v>4000000</v>
      </c>
      <c r="AP15" s="9" t="n">
        <f aca="false">SUM(F15:M15)</f>
        <v>1200000</v>
      </c>
      <c r="AQ15" s="9" t="n">
        <f aca="false">SUM(N15:Y15)</f>
        <v>4500000</v>
      </c>
      <c r="AR15" s="9" t="n">
        <f aca="false">SUM(Z15:AK15)</f>
        <v>6500000</v>
      </c>
      <c r="AS15" s="9" t="n">
        <f aca="false">SUM(AL15:AO15)</f>
        <v>4000000</v>
      </c>
      <c r="AT15" s="2" t="s">
        <v>135</v>
      </c>
    </row>
    <row r="16" customFormat="false" ht="15" hidden="false" customHeight="false" outlineLevel="0" collapsed="false">
      <c r="A16" s="2" t="s">
        <v>108</v>
      </c>
      <c r="B16" s="2" t="s">
        <v>117</v>
      </c>
      <c r="C16" s="17" t="s">
        <v>118</v>
      </c>
      <c r="D16" s="17" t="s">
        <v>136</v>
      </c>
      <c r="E16" s="2" t="s">
        <v>112</v>
      </c>
      <c r="F16" s="7" t="n">
        <v>49500</v>
      </c>
      <c r="G16" s="7" t="n">
        <v>85800</v>
      </c>
      <c r="H16" s="7" t="n">
        <v>105600</v>
      </c>
      <c r="I16" s="7" t="n">
        <v>118800</v>
      </c>
      <c r="J16" s="7" t="n">
        <v>138600</v>
      </c>
      <c r="K16" s="7" t="n">
        <v>172260</v>
      </c>
      <c r="L16" s="7" t="n">
        <v>177540</v>
      </c>
      <c r="M16" s="7" t="n">
        <v>114770</v>
      </c>
      <c r="N16" s="7" t="n">
        <v>98010</v>
      </c>
      <c r="O16" s="7" t="n">
        <v>120988</v>
      </c>
      <c r="P16" s="7" t="n">
        <v>238024</v>
      </c>
      <c r="Q16" s="7" t="n">
        <v>258390</v>
      </c>
      <c r="R16" s="7" t="n">
        <v>101990</v>
      </c>
      <c r="S16" s="7" t="n">
        <v>91564</v>
      </c>
      <c r="T16" s="7" t="n">
        <v>104040</v>
      </c>
      <c r="U16" s="7" t="n">
        <v>140107</v>
      </c>
      <c r="V16" s="7" t="n">
        <v>301625</v>
      </c>
      <c r="W16" s="7" t="n">
        <v>330033</v>
      </c>
      <c r="X16" s="7" t="n">
        <v>108264</v>
      </c>
      <c r="Y16" s="7" t="n">
        <v>85047</v>
      </c>
      <c r="Z16" s="7" t="n">
        <v>110440</v>
      </c>
      <c r="AA16" s="7" t="n">
        <v>136332</v>
      </c>
      <c r="AB16" s="7" t="n">
        <v>353449</v>
      </c>
      <c r="AC16" s="7" t="n">
        <v>419015</v>
      </c>
      <c r="AD16" s="7" t="n">
        <v>114924</v>
      </c>
      <c r="AE16" s="7" t="n">
        <v>103177</v>
      </c>
      <c r="AF16" s="7" t="n">
        <v>117234</v>
      </c>
      <c r="AG16" s="7" t="n">
        <v>157876</v>
      </c>
      <c r="AH16" s="7" t="n">
        <v>417118</v>
      </c>
      <c r="AI16" s="7" t="n">
        <v>487749</v>
      </c>
      <c r="AJ16" s="7" t="n">
        <v>121995</v>
      </c>
      <c r="AK16" s="7" t="n">
        <v>95834</v>
      </c>
      <c r="AL16" s="7" t="n">
        <v>124447</v>
      </c>
      <c r="AM16" s="7" t="n">
        <v>153623</v>
      </c>
      <c r="AN16" s="7" t="n">
        <v>472035</v>
      </c>
      <c r="AO16" s="7" t="n">
        <v>582797</v>
      </c>
      <c r="AP16" s="9" t="n">
        <f aca="false">SUM(F16:M16)</f>
        <v>962870</v>
      </c>
      <c r="AQ16" s="9" t="n">
        <f aca="false">SUM(N16:Y16)</f>
        <v>1978082</v>
      </c>
      <c r="AR16" s="9" t="n">
        <f aca="false">SUM(Z16:AK16)</f>
        <v>2635143</v>
      </c>
      <c r="AS16" s="9" t="n">
        <f aca="false">SUM(AL16:AO16)</f>
        <v>1332902</v>
      </c>
      <c r="AT16" s="2" t="s">
        <v>113</v>
      </c>
    </row>
    <row r="18" customFormat="false" ht="15" hidden="false" customHeight="false" outlineLevel="0" collapsed="false">
      <c r="A18" s="18" t="s">
        <v>102</v>
      </c>
      <c r="B18" s="19"/>
      <c r="C18" s="19"/>
      <c r="D18" s="19"/>
      <c r="E18" s="19"/>
      <c r="F18" s="20" t="n">
        <f aca="false">SUM(F5:F7)</f>
        <v>0</v>
      </c>
      <c r="G18" s="20" t="n">
        <f aca="false">SUM(G5:G7)</f>
        <v>0</v>
      </c>
      <c r="H18" s="20" t="n">
        <f aca="false">SUM(H5:H7)</f>
        <v>0</v>
      </c>
      <c r="I18" s="20" t="n">
        <f aca="false">SUM(I5:I7)</f>
        <v>0</v>
      </c>
      <c r="J18" s="20" t="n">
        <f aca="false">SUM(J5:J7)</f>
        <v>578330</v>
      </c>
      <c r="K18" s="20" t="n">
        <f aca="false">SUM(K5:K7)</f>
        <v>871748</v>
      </c>
      <c r="L18" s="20" t="n">
        <f aca="false">SUM(L5:L7)</f>
        <v>1062286</v>
      </c>
      <c r="M18" s="20" t="n">
        <f aca="false">SUM(M5:M7)</f>
        <v>1191236</v>
      </c>
      <c r="N18" s="20" t="n">
        <f aca="false">SUM(N5:N7)</f>
        <v>1496828</v>
      </c>
      <c r="O18" s="20" t="n">
        <f aca="false">SUM(O5:O7)</f>
        <v>2171306</v>
      </c>
      <c r="P18" s="20" t="n">
        <f aca="false">SUM(P5:P7)</f>
        <v>3066591</v>
      </c>
      <c r="Q18" s="20" t="n">
        <f aca="false">SUM(Q5:Q7)</f>
        <v>3513214</v>
      </c>
      <c r="R18" s="20" t="n">
        <f aca="false">SUM(R5:R7)</f>
        <v>3644178</v>
      </c>
      <c r="S18" s="20" t="n">
        <f aca="false">SUM(S5:S7)</f>
        <v>4008682</v>
      </c>
      <c r="T18" s="20" t="n">
        <f aca="false">SUM(T5:T7)</f>
        <v>4391866</v>
      </c>
      <c r="U18" s="20" t="n">
        <f aca="false">SUM(U5:U7)</f>
        <v>5268915</v>
      </c>
      <c r="V18" s="20" t="n">
        <f aca="false">SUM(V5:V7)</f>
        <v>6436654</v>
      </c>
      <c r="W18" s="20" t="n">
        <f aca="false">SUM(W5:W7)</f>
        <v>6939778</v>
      </c>
      <c r="X18" s="20" t="n">
        <f aca="false">SUM(X5:X7)</f>
        <v>6951020</v>
      </c>
      <c r="Y18" s="20" t="n">
        <f aca="false">SUM(Y5:Y7)</f>
        <v>6901212</v>
      </c>
      <c r="Z18" s="20" t="n">
        <f aca="false">SUM(Z5:Z7)</f>
        <v>7594812</v>
      </c>
      <c r="AA18" s="20" t="n">
        <f aca="false">SUM(AA5:AA7)</f>
        <v>8661664</v>
      </c>
      <c r="AB18" s="20" t="n">
        <f aca="false">SUM(AB5:AB7)</f>
        <v>10287506</v>
      </c>
      <c r="AC18" s="20" t="n">
        <f aca="false">SUM(AC5:AC7)</f>
        <v>10974206</v>
      </c>
      <c r="AD18" s="20" t="n">
        <f aca="false">SUM(AD5:AD7)</f>
        <v>10820243</v>
      </c>
      <c r="AE18" s="20" t="n">
        <f aca="false">SUM(AE5:AE7)</f>
        <v>10805199</v>
      </c>
      <c r="AF18" s="20" t="n">
        <f aca="false">SUM(AF5:AF7)</f>
        <v>11275346</v>
      </c>
      <c r="AG18" s="20" t="n">
        <f aca="false">SUM(AG5:AG7)</f>
        <v>12627753</v>
      </c>
      <c r="AH18" s="20" t="n">
        <f aca="false">SUM(AH5:AH7)</f>
        <v>14126302</v>
      </c>
      <c r="AI18" s="20" t="n">
        <f aca="false">SUM(AI5:AI7)</f>
        <v>14489276</v>
      </c>
      <c r="AJ18" s="20" t="n">
        <f aca="false">SUM(AJ5:AJ7)</f>
        <v>13975484</v>
      </c>
      <c r="AK18" s="20" t="n">
        <f aca="false">SUM(AK5:AK7)</f>
        <v>13395077</v>
      </c>
      <c r="AL18" s="20" t="n">
        <f aca="false">SUM(AL5:AL7)</f>
        <v>13946882</v>
      </c>
      <c r="AM18" s="20" t="n">
        <f aca="false">SUM(AM5:AM7)</f>
        <v>15067182</v>
      </c>
      <c r="AN18" s="20" t="n">
        <f aca="false">SUM(AN5:AN7)</f>
        <v>16035517</v>
      </c>
      <c r="AO18" s="20" t="n">
        <f aca="false">SUM(AO5:AO7)</f>
        <v>16476768</v>
      </c>
      <c r="AP18" s="20" t="n">
        <f aca="false">SUM(AP5:AP7)</f>
        <v>3703600</v>
      </c>
      <c r="AQ18" s="20" t="n">
        <f aca="false">SUM(AQ5:AQ7)</f>
        <v>54790244</v>
      </c>
      <c r="AR18" s="20" t="n">
        <f aca="false">SUM(AR5:AR7)</f>
        <v>139032868</v>
      </c>
      <c r="AS18" s="20" t="n">
        <f aca="false">SUM(AS5:AS7)</f>
        <v>61526349</v>
      </c>
    </row>
    <row r="19" customFormat="false" ht="15" hidden="false" customHeight="false" outlineLevel="0" collapsed="false">
      <c r="A19" s="18" t="s">
        <v>137</v>
      </c>
      <c r="B19" s="19"/>
      <c r="C19" s="19"/>
      <c r="D19" s="19"/>
      <c r="E19" s="19"/>
      <c r="F19" s="20" t="n">
        <f aca="false">SUM(F8:F13)</f>
        <v>0</v>
      </c>
      <c r="G19" s="20" t="n">
        <f aca="false">SUM(G8:G13)</f>
        <v>0</v>
      </c>
      <c r="H19" s="20" t="n">
        <f aca="false">SUM(H8:H13)</f>
        <v>0</v>
      </c>
      <c r="I19" s="20" t="n">
        <f aca="false">SUM(I8:I13)</f>
        <v>0</v>
      </c>
      <c r="J19" s="20" t="n">
        <f aca="false">SUM(J8:J13)</f>
        <v>0</v>
      </c>
      <c r="K19" s="20" t="n">
        <f aca="false">SUM(K8:K13)</f>
        <v>0</v>
      </c>
      <c r="L19" s="20" t="n">
        <f aca="false">SUM(L8:L13)</f>
        <v>0</v>
      </c>
      <c r="M19" s="20" t="n">
        <f aca="false">SUM(M8:M13)</f>
        <v>0</v>
      </c>
      <c r="N19" s="20" t="n">
        <f aca="false">SUM(N8:N13)</f>
        <v>0</v>
      </c>
      <c r="O19" s="20" t="n">
        <f aca="false">SUM(O8:O13)</f>
        <v>600000</v>
      </c>
      <c r="P19" s="20" t="n">
        <f aca="false">SUM(P8:P13)</f>
        <v>1444800</v>
      </c>
      <c r="Q19" s="20" t="n">
        <f aca="false">SUM(Q8:Q13)</f>
        <v>1437408</v>
      </c>
      <c r="R19" s="20" t="n">
        <f aca="false">SUM(R8:R13)</f>
        <v>1488222</v>
      </c>
      <c r="S19" s="20" t="n">
        <f aca="false">SUM(S8:S13)</f>
        <v>1489321</v>
      </c>
      <c r="T19" s="20" t="n">
        <f aca="false">SUM(T8:T13)</f>
        <v>1551676</v>
      </c>
      <c r="U19" s="20" t="n">
        <f aca="false">SUM(U8:U13)</f>
        <v>1699759</v>
      </c>
      <c r="V19" s="20" t="n">
        <f aca="false">SUM(V8:V13)</f>
        <v>1881686</v>
      </c>
      <c r="W19" s="20" t="n">
        <f aca="false">SUM(W8:W13)</f>
        <v>1822571</v>
      </c>
      <c r="X19" s="20" t="n">
        <f aca="false">SUM(X8:X13)</f>
        <v>1737339</v>
      </c>
      <c r="Y19" s="20" t="n">
        <f aca="false">SUM(Y8:Y13)</f>
        <v>1680090</v>
      </c>
      <c r="Z19" s="20" t="n">
        <f aca="false">SUM(Z8:Z13)</f>
        <v>2284228</v>
      </c>
      <c r="AA19" s="20" t="n">
        <f aca="false">SUM(AA8:AA13)</f>
        <v>2448238</v>
      </c>
      <c r="AB19" s="20" t="n">
        <f aca="false">SUM(AB8:AB13)</f>
        <v>2698555</v>
      </c>
      <c r="AC19" s="20" t="n">
        <f aca="false">SUM(AC8:AC13)</f>
        <v>2603545</v>
      </c>
      <c r="AD19" s="20" t="n">
        <f aca="false">SUM(AD8:AD13)</f>
        <v>2417389</v>
      </c>
      <c r="AE19" s="20" t="n">
        <f aca="false">SUM(AE8:AE13)</f>
        <v>2373070</v>
      </c>
      <c r="AF19" s="20" t="n">
        <f aca="false">SUM(AF8:AF13)</f>
        <v>2495333</v>
      </c>
      <c r="AG19" s="20" t="n">
        <f aca="false">SUM(AG8:AG13)</f>
        <v>2811690</v>
      </c>
      <c r="AH19" s="20" t="n">
        <f aca="false">SUM(AH8:AH13)</f>
        <v>3160002</v>
      </c>
      <c r="AI19" s="20" t="n">
        <f aca="false">SUM(AI8:AI13)</f>
        <v>2933546</v>
      </c>
      <c r="AJ19" s="20" t="n">
        <f aca="false">SUM(AJ8:AJ13)</f>
        <v>2678379</v>
      </c>
      <c r="AK19" s="20" t="n">
        <f aca="false">SUM(AK8:AK13)</f>
        <v>2504869</v>
      </c>
      <c r="AL19" s="20" t="n">
        <f aca="false">SUM(AL8:AL13)</f>
        <v>2961013</v>
      </c>
      <c r="AM19" s="20" t="n">
        <f aca="false">SUM(AM8:AM13)</f>
        <v>3231815</v>
      </c>
      <c r="AN19" s="20" t="n">
        <f aca="false">SUM(AN8:AN13)</f>
        <v>3641224</v>
      </c>
      <c r="AO19" s="20" t="n">
        <f aca="false">SUM(AO8:AO13)</f>
        <v>3439009</v>
      </c>
      <c r="AP19" s="20" t="n">
        <f aca="false">SUM(AP8:AP13)</f>
        <v>0</v>
      </c>
      <c r="AQ19" s="20" t="n">
        <f aca="false">SUM(AQ8:AQ13)</f>
        <v>16832872</v>
      </c>
      <c r="AR19" s="20" t="n">
        <f aca="false">SUM(AR8:AR13)</f>
        <v>31408844</v>
      </c>
      <c r="AS19" s="20" t="n">
        <f aca="false">SUM(AS8:AS13)</f>
        <v>13273061</v>
      </c>
    </row>
    <row r="20" customFormat="false" ht="15" hidden="false" customHeight="false" outlineLevel="0" collapsed="false">
      <c r="A20" s="18" t="s">
        <v>104</v>
      </c>
      <c r="B20" s="19"/>
      <c r="C20" s="19"/>
      <c r="D20" s="19"/>
      <c r="E20" s="19"/>
      <c r="F20" s="20" t="n">
        <f aca="false">SUM(F14:F16)</f>
        <v>49500</v>
      </c>
      <c r="G20" s="20" t="n">
        <f aca="false">SUM(G14:G16)</f>
        <v>85800</v>
      </c>
      <c r="H20" s="20" t="n">
        <f aca="false">SUM(H14:H16)</f>
        <v>105600</v>
      </c>
      <c r="I20" s="20" t="n">
        <f aca="false">SUM(I14:I16)</f>
        <v>118800</v>
      </c>
      <c r="J20" s="20" t="n">
        <f aca="false">SUM(J14:J16)</f>
        <v>138600</v>
      </c>
      <c r="K20" s="20" t="n">
        <f aca="false">SUM(K14:K16)</f>
        <v>172260</v>
      </c>
      <c r="L20" s="20" t="n">
        <f aca="false">SUM(L14:L16)</f>
        <v>3177540</v>
      </c>
      <c r="M20" s="20" t="n">
        <f aca="false">SUM(M14:M16)</f>
        <v>114770</v>
      </c>
      <c r="N20" s="20" t="n">
        <f aca="false">SUM(N14:N16)</f>
        <v>98010</v>
      </c>
      <c r="O20" s="20" t="n">
        <f aca="false">SUM(O14:O16)</f>
        <v>120988</v>
      </c>
      <c r="P20" s="20" t="n">
        <f aca="false">SUM(P14:P16)</f>
        <v>238024</v>
      </c>
      <c r="Q20" s="20" t="n">
        <f aca="false">SUM(Q14:Q16)</f>
        <v>4758390</v>
      </c>
      <c r="R20" s="20" t="n">
        <f aca="false">SUM(R14:R16)</f>
        <v>101990</v>
      </c>
      <c r="S20" s="20" t="n">
        <f aca="false">SUM(S14:S16)</f>
        <v>91564</v>
      </c>
      <c r="T20" s="20" t="n">
        <f aca="false">SUM(T14:T16)</f>
        <v>104040</v>
      </c>
      <c r="U20" s="20" t="n">
        <f aca="false">SUM(U14:U16)</f>
        <v>140107</v>
      </c>
      <c r="V20" s="20" t="n">
        <f aca="false">SUM(V14:V16)</f>
        <v>301625</v>
      </c>
      <c r="W20" s="20" t="n">
        <f aca="false">SUM(W14:W16)</f>
        <v>5830033</v>
      </c>
      <c r="X20" s="20" t="n">
        <f aca="false">SUM(X14:X16)</f>
        <v>108264</v>
      </c>
      <c r="Y20" s="20" t="n">
        <f aca="false">SUM(Y14:Y16)</f>
        <v>85047</v>
      </c>
      <c r="Z20" s="20" t="n">
        <f aca="false">SUM(Z14:Z16)</f>
        <v>110440</v>
      </c>
      <c r="AA20" s="20" t="n">
        <f aca="false">SUM(AA14:AA16)</f>
        <v>136332</v>
      </c>
      <c r="AB20" s="20" t="n">
        <f aca="false">SUM(AB14:AB16)</f>
        <v>353449</v>
      </c>
      <c r="AC20" s="20" t="n">
        <f aca="false">SUM(AC14:AC16)</f>
        <v>6919015</v>
      </c>
      <c r="AD20" s="20" t="n">
        <f aca="false">SUM(AD14:AD16)</f>
        <v>114924</v>
      </c>
      <c r="AE20" s="20" t="n">
        <f aca="false">SUM(AE14:AE16)</f>
        <v>103177</v>
      </c>
      <c r="AF20" s="20" t="n">
        <f aca="false">SUM(AF14:AF16)</f>
        <v>117234</v>
      </c>
      <c r="AG20" s="20" t="n">
        <f aca="false">SUM(AG14:AG16)</f>
        <v>157876</v>
      </c>
      <c r="AH20" s="20" t="n">
        <f aca="false">SUM(AH14:AH16)</f>
        <v>417118</v>
      </c>
      <c r="AI20" s="20" t="n">
        <f aca="false">SUM(AI14:AI16)</f>
        <v>7987749</v>
      </c>
      <c r="AJ20" s="20" t="n">
        <f aca="false">SUM(AJ14:AJ16)</f>
        <v>121995</v>
      </c>
      <c r="AK20" s="20" t="n">
        <f aca="false">SUM(AK14:AK16)</f>
        <v>95834</v>
      </c>
      <c r="AL20" s="20" t="n">
        <f aca="false">SUM(AL14:AL16)</f>
        <v>124447</v>
      </c>
      <c r="AM20" s="20" t="n">
        <f aca="false">SUM(AM14:AM16)</f>
        <v>153623</v>
      </c>
      <c r="AN20" s="20" t="n">
        <f aca="false">SUM(AN14:AN16)</f>
        <v>472035</v>
      </c>
      <c r="AO20" s="20" t="n">
        <f aca="false">SUM(AO14:AO16)</f>
        <v>9082797</v>
      </c>
      <c r="AP20" s="20" t="n">
        <f aca="false">SUM(AP14:AP16)</f>
        <v>3962870</v>
      </c>
      <c r="AQ20" s="20" t="n">
        <f aca="false">SUM(AQ14:AQ16)</f>
        <v>11978082</v>
      </c>
      <c r="AR20" s="20" t="n">
        <f aca="false">SUM(AR14:AR16)</f>
        <v>16635143</v>
      </c>
      <c r="AS20" s="20" t="n">
        <f aca="false">SUM(AS14:AS16)</f>
        <v>9832902</v>
      </c>
    </row>
    <row r="21" customFormat="false" ht="15" hidden="false" customHeight="false" outlineLevel="0" collapsed="false">
      <c r="A21" s="21" t="s">
        <v>138</v>
      </c>
      <c r="B21" s="22"/>
      <c r="C21" s="22"/>
      <c r="D21" s="22"/>
      <c r="E21" s="22"/>
      <c r="F21" s="23" t="n">
        <f aca="false">SUM(F5:F16)</f>
        <v>49500</v>
      </c>
      <c r="G21" s="23" t="n">
        <f aca="false">SUM(G5:G16)</f>
        <v>85800</v>
      </c>
      <c r="H21" s="23" t="n">
        <f aca="false">SUM(H5:H16)</f>
        <v>105600</v>
      </c>
      <c r="I21" s="23" t="n">
        <f aca="false">SUM(I5:I16)</f>
        <v>118800</v>
      </c>
      <c r="J21" s="23" t="n">
        <f aca="false">SUM(J5:J16)</f>
        <v>716930</v>
      </c>
      <c r="K21" s="23" t="n">
        <f aca="false">SUM(K5:K16)</f>
        <v>1044008</v>
      </c>
      <c r="L21" s="23" t="n">
        <f aca="false">SUM(L5:L16)</f>
        <v>4239826</v>
      </c>
      <c r="M21" s="23" t="n">
        <f aca="false">SUM(M5:M16)</f>
        <v>1306006</v>
      </c>
      <c r="N21" s="23" t="n">
        <f aca="false">SUM(N5:N16)</f>
        <v>1594838</v>
      </c>
      <c r="O21" s="23" t="n">
        <f aca="false">SUM(O5:O16)</f>
        <v>2892294</v>
      </c>
      <c r="P21" s="23" t="n">
        <f aca="false">SUM(P5:P16)</f>
        <v>4749415</v>
      </c>
      <c r="Q21" s="23" t="n">
        <f aca="false">SUM(Q5:Q16)</f>
        <v>9709012</v>
      </c>
      <c r="R21" s="23" t="n">
        <f aca="false">SUM(R5:R16)</f>
        <v>5234390</v>
      </c>
      <c r="S21" s="23" t="n">
        <f aca="false">SUM(S5:S16)</f>
        <v>5589567</v>
      </c>
      <c r="T21" s="23" t="n">
        <f aca="false">SUM(T5:T16)</f>
        <v>6047582</v>
      </c>
      <c r="U21" s="23" t="n">
        <f aca="false">SUM(U5:U16)</f>
        <v>7108781</v>
      </c>
      <c r="V21" s="23" t="n">
        <f aca="false">SUM(V5:V16)</f>
        <v>8619965</v>
      </c>
      <c r="W21" s="23" t="n">
        <f aca="false">SUM(W5:W16)</f>
        <v>14592382</v>
      </c>
      <c r="X21" s="23" t="n">
        <f aca="false">SUM(X5:X16)</f>
        <v>8796623</v>
      </c>
      <c r="Y21" s="23" t="n">
        <f aca="false">SUM(Y5:Y16)</f>
        <v>8666349</v>
      </c>
      <c r="Z21" s="23" t="n">
        <f aca="false">SUM(Z5:Z16)</f>
        <v>9989480</v>
      </c>
      <c r="AA21" s="23" t="n">
        <f aca="false">SUM(AA5:AA16)</f>
        <v>11246234</v>
      </c>
      <c r="AB21" s="23" t="n">
        <f aca="false">SUM(AB5:AB16)</f>
        <v>13339510</v>
      </c>
      <c r="AC21" s="23" t="n">
        <f aca="false">SUM(AC5:AC16)</f>
        <v>20496766</v>
      </c>
      <c r="AD21" s="23" t="n">
        <f aca="false">SUM(AD5:AD16)</f>
        <v>13352556</v>
      </c>
      <c r="AE21" s="23" t="n">
        <f aca="false">SUM(AE5:AE16)</f>
        <v>13281446</v>
      </c>
      <c r="AF21" s="23" t="n">
        <f aca="false">SUM(AF5:AF16)</f>
        <v>13887913</v>
      </c>
      <c r="AG21" s="23" t="n">
        <f aca="false">SUM(AG5:AG16)</f>
        <v>15597319</v>
      </c>
      <c r="AH21" s="23" t="n">
        <f aca="false">SUM(AH5:AH16)</f>
        <v>17703422</v>
      </c>
      <c r="AI21" s="23" t="n">
        <f aca="false">SUM(AI5:AI16)</f>
        <v>25410571</v>
      </c>
      <c r="AJ21" s="23" t="n">
        <f aca="false">SUM(AJ5:AJ16)</f>
        <v>16775858</v>
      </c>
      <c r="AK21" s="23" t="n">
        <f aca="false">SUM(AK5:AK16)</f>
        <v>15995780</v>
      </c>
      <c r="AL21" s="23" t="n">
        <f aca="false">SUM(AL5:AL16)</f>
        <v>17032342</v>
      </c>
      <c r="AM21" s="23" t="n">
        <f aca="false">SUM(AM5:AM16)</f>
        <v>18452620</v>
      </c>
      <c r="AN21" s="23" t="n">
        <f aca="false">SUM(AN5:AN16)</f>
        <v>20148776</v>
      </c>
      <c r="AO21" s="23" t="n">
        <f aca="false">SUM(AO5:AO16)</f>
        <v>28998574</v>
      </c>
      <c r="AP21" s="23" t="n">
        <f aca="false">SUM(AP5:AP16)</f>
        <v>7666470</v>
      </c>
      <c r="AQ21" s="23" t="n">
        <f aca="false">SUM(AQ5:AQ16)</f>
        <v>83601198</v>
      </c>
      <c r="AR21" s="23" t="n">
        <f aca="false">SUM(AR5:AR16)</f>
        <v>187076855</v>
      </c>
      <c r="AS21" s="23" t="n">
        <f aca="false">SUM(AS5:AS16)</f>
        <v>84632312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T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4"/>
    <col collapsed="false" customWidth="true" hidden="false" outlineLevel="0" max="3" min="3" style="0" width="30"/>
    <col collapsed="false" customWidth="true" hidden="false" outlineLevel="0" max="4" min="4" style="0" width="40"/>
    <col collapsed="false" customWidth="true" hidden="false" outlineLevel="0" max="5" min="5" style="0" width="26"/>
    <col collapsed="false" customWidth="true" hidden="false" outlineLevel="0" max="41" min="6" style="0" width="13"/>
    <col collapsed="false" customWidth="true" hidden="false" outlineLevel="0" max="45" min="42" style="0" width="16"/>
    <col collapsed="false" customWidth="true" hidden="false" outlineLevel="0" max="46" min="46" style="0" width="40"/>
  </cols>
  <sheetData>
    <row r="1" customFormat="false" ht="17.15" hidden="false" customHeight="false" outlineLevel="0" collapsed="false">
      <c r="A1" s="1" t="s">
        <v>139</v>
      </c>
    </row>
    <row r="2" customFormat="false" ht="15" hidden="false" customHeight="false" outlineLevel="0" collapsed="false">
      <c r="A2" s="24" t="s">
        <v>140</v>
      </c>
    </row>
    <row r="3" customFormat="false" ht="30" hidden="false" customHeight="true" outlineLevel="0" collapsed="false">
      <c r="A3" s="11" t="s">
        <v>26</v>
      </c>
      <c r="B3" s="11" t="s">
        <v>27</v>
      </c>
      <c r="C3" s="11" t="s">
        <v>28</v>
      </c>
      <c r="D3" s="11" t="s">
        <v>29</v>
      </c>
      <c r="E3" s="11" t="s">
        <v>30</v>
      </c>
      <c r="F3" s="12" t="s">
        <v>31</v>
      </c>
      <c r="G3" s="12" t="s">
        <v>32</v>
      </c>
      <c r="H3" s="12" t="s">
        <v>33</v>
      </c>
      <c r="I3" s="12" t="s">
        <v>34</v>
      </c>
      <c r="J3" s="12" t="s">
        <v>35</v>
      </c>
      <c r="K3" s="12" t="s">
        <v>36</v>
      </c>
      <c r="L3" s="12" t="s">
        <v>37</v>
      </c>
      <c r="M3" s="12" t="s">
        <v>38</v>
      </c>
      <c r="N3" s="12" t="s">
        <v>39</v>
      </c>
      <c r="O3" s="12" t="s">
        <v>40</v>
      </c>
      <c r="P3" s="12" t="s">
        <v>41</v>
      </c>
      <c r="Q3" s="12" t="s">
        <v>42</v>
      </c>
      <c r="R3" s="12" t="s">
        <v>43</v>
      </c>
      <c r="S3" s="12" t="s">
        <v>44</v>
      </c>
      <c r="T3" s="12" t="s">
        <v>45</v>
      </c>
      <c r="U3" s="12" t="s">
        <v>46</v>
      </c>
      <c r="V3" s="12" t="s">
        <v>47</v>
      </c>
      <c r="W3" s="12" t="s">
        <v>48</v>
      </c>
      <c r="X3" s="12" t="s">
        <v>49</v>
      </c>
      <c r="Y3" s="12" t="s">
        <v>50</v>
      </c>
      <c r="Z3" s="12" t="s">
        <v>51</v>
      </c>
      <c r="AA3" s="12" t="s">
        <v>52</v>
      </c>
      <c r="AB3" s="12" t="s">
        <v>53</v>
      </c>
      <c r="AC3" s="12" t="s">
        <v>54</v>
      </c>
      <c r="AD3" s="12" t="s">
        <v>55</v>
      </c>
      <c r="AE3" s="12" t="s">
        <v>56</v>
      </c>
      <c r="AF3" s="12" t="s">
        <v>57</v>
      </c>
      <c r="AG3" s="12" t="s">
        <v>58</v>
      </c>
      <c r="AH3" s="12" t="s">
        <v>59</v>
      </c>
      <c r="AI3" s="12" t="s">
        <v>60</v>
      </c>
      <c r="AJ3" s="12" t="s">
        <v>61</v>
      </c>
      <c r="AK3" s="12" t="s">
        <v>62</v>
      </c>
      <c r="AL3" s="12" t="s">
        <v>63</v>
      </c>
      <c r="AM3" s="12" t="s">
        <v>64</v>
      </c>
      <c r="AN3" s="12" t="s">
        <v>65</v>
      </c>
      <c r="AO3" s="12" t="s">
        <v>66</v>
      </c>
      <c r="AP3" s="12" t="s">
        <v>67</v>
      </c>
      <c r="AQ3" s="12" t="s">
        <v>68</v>
      </c>
      <c r="AR3" s="12" t="s">
        <v>69</v>
      </c>
      <c r="AS3" s="12" t="s">
        <v>70</v>
      </c>
      <c r="AT3" s="11" t="s">
        <v>71</v>
      </c>
    </row>
    <row r="4" customFormat="false" ht="15" hidden="false" customHeight="false" outlineLevel="0" collapsed="false">
      <c r="A4" s="10" t="s">
        <v>72</v>
      </c>
      <c r="F4" s="13" t="s">
        <v>73</v>
      </c>
      <c r="G4" s="13" t="s">
        <v>73</v>
      </c>
      <c r="H4" s="13" t="s">
        <v>73</v>
      </c>
      <c r="I4" s="13" t="s">
        <v>73</v>
      </c>
      <c r="J4" s="13" t="s">
        <v>73</v>
      </c>
      <c r="K4" s="13" t="s">
        <v>73</v>
      </c>
      <c r="L4" s="13" t="s">
        <v>73</v>
      </c>
      <c r="M4" s="13" t="s">
        <v>73</v>
      </c>
      <c r="N4" s="14" t="s">
        <v>74</v>
      </c>
      <c r="O4" s="14" t="s">
        <v>74</v>
      </c>
      <c r="P4" s="14" t="s">
        <v>74</v>
      </c>
      <c r="Q4" s="14" t="s">
        <v>74</v>
      </c>
      <c r="R4" s="14" t="s">
        <v>74</v>
      </c>
      <c r="S4" s="14" t="s">
        <v>74</v>
      </c>
      <c r="T4" s="14" t="s">
        <v>74</v>
      </c>
      <c r="U4" s="14" t="s">
        <v>74</v>
      </c>
      <c r="V4" s="14" t="s">
        <v>74</v>
      </c>
      <c r="W4" s="15" t="s">
        <v>74</v>
      </c>
      <c r="X4" s="15" t="s">
        <v>74</v>
      </c>
      <c r="Y4" s="15" t="s">
        <v>74</v>
      </c>
      <c r="Z4" s="15" t="s">
        <v>74</v>
      </c>
      <c r="AA4" s="15" t="s">
        <v>74</v>
      </c>
      <c r="AB4" s="15" t="s">
        <v>74</v>
      </c>
      <c r="AC4" s="15" t="s">
        <v>74</v>
      </c>
      <c r="AD4" s="15" t="s">
        <v>74</v>
      </c>
      <c r="AE4" s="15" t="s">
        <v>74</v>
      </c>
      <c r="AF4" s="15" t="s">
        <v>74</v>
      </c>
      <c r="AG4" s="15" t="s">
        <v>74</v>
      </c>
      <c r="AH4" s="15" t="s">
        <v>74</v>
      </c>
      <c r="AI4" s="15" t="s">
        <v>74</v>
      </c>
      <c r="AJ4" s="15" t="s">
        <v>74</v>
      </c>
      <c r="AK4" s="15" t="s">
        <v>74</v>
      </c>
      <c r="AL4" s="15" t="s">
        <v>74</v>
      </c>
      <c r="AM4" s="15" t="s">
        <v>74</v>
      </c>
      <c r="AN4" s="15" t="s">
        <v>74</v>
      </c>
      <c r="AO4" s="15" t="s">
        <v>74</v>
      </c>
      <c r="AP4" s="16" t="s">
        <v>75</v>
      </c>
      <c r="AQ4" s="16" t="s">
        <v>75</v>
      </c>
      <c r="AR4" s="16" t="s">
        <v>75</v>
      </c>
      <c r="AS4" s="16" t="s">
        <v>75</v>
      </c>
    </row>
    <row r="5" customFormat="false" ht="15" hidden="false" customHeight="false" outlineLevel="0" collapsed="false">
      <c r="A5" s="2" t="s">
        <v>141</v>
      </c>
      <c r="B5" s="17" t="s">
        <v>142</v>
      </c>
      <c r="C5" s="2" t="s">
        <v>143</v>
      </c>
      <c r="D5" s="2" t="s">
        <v>144</v>
      </c>
      <c r="E5" s="2" t="s">
        <v>127</v>
      </c>
      <c r="F5" s="7" t="n">
        <v>0</v>
      </c>
      <c r="G5" s="7" t="n">
        <v>2999024</v>
      </c>
      <c r="H5" s="7" t="n">
        <v>2999024</v>
      </c>
      <c r="I5" s="7" t="n">
        <v>2999024</v>
      </c>
      <c r="J5" s="7" t="n">
        <v>2999024</v>
      </c>
      <c r="K5" s="7" t="n">
        <v>2999024</v>
      </c>
      <c r="L5" s="7" t="n">
        <v>2999024</v>
      </c>
      <c r="M5" s="7" t="n">
        <v>2999021</v>
      </c>
      <c r="N5" s="7" t="n">
        <v>7800000</v>
      </c>
      <c r="O5" s="7" t="n">
        <v>7800000</v>
      </c>
      <c r="P5" s="7" t="n">
        <v>7800000</v>
      </c>
      <c r="Q5" s="7" t="n">
        <v>12600000</v>
      </c>
      <c r="R5" s="7" t="n">
        <v>12600000</v>
      </c>
      <c r="S5" s="7" t="n">
        <v>12600000</v>
      </c>
      <c r="T5" s="7" t="n">
        <v>12600000</v>
      </c>
      <c r="U5" s="7" t="n">
        <v>12600000</v>
      </c>
      <c r="V5" s="7" t="n">
        <v>12600000</v>
      </c>
      <c r="W5" s="7" t="n">
        <v>12600000</v>
      </c>
      <c r="X5" s="7" t="n">
        <v>12600000</v>
      </c>
      <c r="Y5" s="7" t="n">
        <v>12600000</v>
      </c>
      <c r="Z5" s="7" t="n">
        <v>13230000</v>
      </c>
      <c r="AA5" s="7" t="n">
        <v>13230000</v>
      </c>
      <c r="AB5" s="7" t="n">
        <v>13230000</v>
      </c>
      <c r="AC5" s="7" t="n">
        <v>13230000</v>
      </c>
      <c r="AD5" s="7" t="n">
        <v>13230000</v>
      </c>
      <c r="AE5" s="7" t="n">
        <v>13230000</v>
      </c>
      <c r="AF5" s="7" t="n">
        <v>13230000</v>
      </c>
      <c r="AG5" s="7" t="n">
        <v>13230000</v>
      </c>
      <c r="AH5" s="7" t="n">
        <v>18480000</v>
      </c>
      <c r="AI5" s="7" t="n">
        <v>18480000</v>
      </c>
      <c r="AJ5" s="7" t="n">
        <v>18480000</v>
      </c>
      <c r="AK5" s="7" t="n">
        <v>18480000</v>
      </c>
      <c r="AL5" s="7" t="n">
        <v>19404000</v>
      </c>
      <c r="AM5" s="7" t="n">
        <v>19404000</v>
      </c>
      <c r="AN5" s="7" t="n">
        <v>19404000</v>
      </c>
      <c r="AO5" s="7" t="n">
        <v>19404000</v>
      </c>
      <c r="AP5" s="9" t="n">
        <f aca="false">SUM(F5:M5)</f>
        <v>20993165</v>
      </c>
      <c r="AQ5" s="9" t="n">
        <f aca="false">SUM(N5:Y5)</f>
        <v>136800000</v>
      </c>
      <c r="AR5" s="9" t="n">
        <f aca="false">SUM(Z5:AK5)</f>
        <v>179760000</v>
      </c>
      <c r="AS5" s="9" t="n">
        <f aca="false">SUM(AL5:AO5)</f>
        <v>77616000</v>
      </c>
      <c r="AT5" s="2" t="s">
        <v>145</v>
      </c>
    </row>
    <row r="6" customFormat="false" ht="15" hidden="false" customHeight="false" outlineLevel="0" collapsed="false">
      <c r="A6" s="2" t="s">
        <v>141</v>
      </c>
      <c r="B6" s="17" t="s">
        <v>142</v>
      </c>
      <c r="C6" s="2" t="s">
        <v>143</v>
      </c>
      <c r="D6" s="2" t="s">
        <v>146</v>
      </c>
      <c r="E6" s="2" t="s">
        <v>127</v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3400000</v>
      </c>
      <c r="R6" s="7" t="n">
        <v>3400000</v>
      </c>
      <c r="S6" s="7" t="n">
        <v>3400000</v>
      </c>
      <c r="T6" s="7" t="n">
        <v>3400000</v>
      </c>
      <c r="U6" s="7" t="n">
        <v>3400000</v>
      </c>
      <c r="V6" s="7" t="n">
        <v>3400000</v>
      </c>
      <c r="W6" s="7" t="n">
        <v>3400000</v>
      </c>
      <c r="X6" s="7" t="n">
        <v>3400000</v>
      </c>
      <c r="Y6" s="7" t="n">
        <v>3400000</v>
      </c>
      <c r="Z6" s="7" t="n">
        <v>3570000</v>
      </c>
      <c r="AA6" s="7" t="n">
        <v>3570000</v>
      </c>
      <c r="AB6" s="7" t="n">
        <v>7350000</v>
      </c>
      <c r="AC6" s="7" t="n">
        <v>7350000</v>
      </c>
      <c r="AD6" s="7" t="n">
        <v>7350000</v>
      </c>
      <c r="AE6" s="7" t="n">
        <v>7350000</v>
      </c>
      <c r="AF6" s="7" t="n">
        <v>7350000</v>
      </c>
      <c r="AG6" s="7" t="n">
        <v>7350000</v>
      </c>
      <c r="AH6" s="7" t="n">
        <v>7350000</v>
      </c>
      <c r="AI6" s="7" t="n">
        <v>7350000</v>
      </c>
      <c r="AJ6" s="7" t="n">
        <v>7350000</v>
      </c>
      <c r="AK6" s="7" t="n">
        <v>7350000</v>
      </c>
      <c r="AL6" s="7" t="n">
        <v>7717500</v>
      </c>
      <c r="AM6" s="7" t="n">
        <v>7717500</v>
      </c>
      <c r="AN6" s="7" t="n">
        <v>7717500</v>
      </c>
      <c r="AO6" s="7" t="n">
        <v>7717500</v>
      </c>
      <c r="AP6" s="9" t="n">
        <f aca="false">SUM(F6:M6)</f>
        <v>0</v>
      </c>
      <c r="AQ6" s="9" t="n">
        <f aca="false">SUM(N6:Y6)</f>
        <v>30600000</v>
      </c>
      <c r="AR6" s="9" t="n">
        <f aca="false">SUM(Z6:AK6)</f>
        <v>80640000</v>
      </c>
      <c r="AS6" s="9" t="n">
        <f aca="false">SUM(AL6:AO6)</f>
        <v>30870000</v>
      </c>
      <c r="AT6" s="2" t="s">
        <v>145</v>
      </c>
    </row>
    <row r="7" customFormat="false" ht="15" hidden="false" customHeight="false" outlineLevel="0" collapsed="false">
      <c r="A7" s="2" t="s">
        <v>141</v>
      </c>
      <c r="B7" s="17" t="s">
        <v>142</v>
      </c>
      <c r="C7" s="2" t="s">
        <v>143</v>
      </c>
      <c r="D7" s="2" t="s">
        <v>147</v>
      </c>
      <c r="E7" s="2" t="s">
        <v>127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1669457</v>
      </c>
      <c r="K7" s="7" t="n">
        <v>1669457</v>
      </c>
      <c r="L7" s="7" t="n">
        <v>1669457</v>
      </c>
      <c r="M7" s="7" t="n">
        <v>1669457</v>
      </c>
      <c r="N7" s="7" t="n">
        <v>3000000</v>
      </c>
      <c r="O7" s="7" t="n">
        <v>3000000</v>
      </c>
      <c r="P7" s="7" t="n">
        <v>3000000</v>
      </c>
      <c r="Q7" s="7" t="n">
        <v>3000000</v>
      </c>
      <c r="R7" s="7" t="n">
        <v>3000000</v>
      </c>
      <c r="S7" s="7" t="n">
        <v>3000000</v>
      </c>
      <c r="T7" s="7" t="n">
        <v>7000000</v>
      </c>
      <c r="U7" s="7" t="n">
        <v>7000000</v>
      </c>
      <c r="V7" s="7" t="n">
        <v>7000000</v>
      </c>
      <c r="W7" s="7" t="n">
        <v>7000000</v>
      </c>
      <c r="X7" s="7" t="n">
        <v>7000000</v>
      </c>
      <c r="Y7" s="7" t="n">
        <v>7000000</v>
      </c>
      <c r="Z7" s="7" t="n">
        <v>7350000</v>
      </c>
      <c r="AA7" s="7" t="n">
        <v>7350000</v>
      </c>
      <c r="AB7" s="7" t="n">
        <v>7350000</v>
      </c>
      <c r="AC7" s="7" t="n">
        <v>7350000</v>
      </c>
      <c r="AD7" s="7" t="n">
        <v>7350000</v>
      </c>
      <c r="AE7" s="7" t="n">
        <v>10710000</v>
      </c>
      <c r="AF7" s="7" t="n">
        <v>10710000</v>
      </c>
      <c r="AG7" s="7" t="n">
        <v>10710000</v>
      </c>
      <c r="AH7" s="7" t="n">
        <v>10710000</v>
      </c>
      <c r="AI7" s="7" t="n">
        <v>10710000</v>
      </c>
      <c r="AJ7" s="7" t="n">
        <v>10710000</v>
      </c>
      <c r="AK7" s="7" t="n">
        <v>10710000</v>
      </c>
      <c r="AL7" s="7" t="n">
        <v>11245500</v>
      </c>
      <c r="AM7" s="7" t="n">
        <v>11245500</v>
      </c>
      <c r="AN7" s="7" t="n">
        <v>11245500</v>
      </c>
      <c r="AO7" s="7" t="n">
        <v>11245500</v>
      </c>
      <c r="AP7" s="9" t="n">
        <f aca="false">SUM(F7:M7)</f>
        <v>6677828</v>
      </c>
      <c r="AQ7" s="9" t="n">
        <f aca="false">SUM(N7:Y7)</f>
        <v>60000000</v>
      </c>
      <c r="AR7" s="9" t="n">
        <f aca="false">SUM(Z7:AK7)</f>
        <v>111720000</v>
      </c>
      <c r="AS7" s="9" t="n">
        <f aca="false">SUM(AL7:AO7)</f>
        <v>44982000</v>
      </c>
      <c r="AT7" s="2" t="s">
        <v>145</v>
      </c>
    </row>
    <row r="8" customFormat="false" ht="15" hidden="false" customHeight="false" outlineLevel="0" collapsed="false">
      <c r="A8" s="2" t="s">
        <v>141</v>
      </c>
      <c r="B8" s="17" t="s">
        <v>142</v>
      </c>
      <c r="C8" s="2" t="s">
        <v>148</v>
      </c>
      <c r="D8" s="2" t="s">
        <v>149</v>
      </c>
      <c r="E8" s="2" t="s">
        <v>127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900000</v>
      </c>
      <c r="O8" s="7" t="n">
        <v>900000</v>
      </c>
      <c r="P8" s="7" t="n">
        <v>900000</v>
      </c>
      <c r="Q8" s="7" t="n">
        <v>1583333</v>
      </c>
      <c r="R8" s="7" t="n">
        <v>1583333</v>
      </c>
      <c r="S8" s="7" t="n">
        <v>1583333</v>
      </c>
      <c r="T8" s="7" t="n">
        <v>1916667</v>
      </c>
      <c r="U8" s="7" t="n">
        <v>1916667</v>
      </c>
      <c r="V8" s="7" t="n">
        <v>1916667</v>
      </c>
      <c r="W8" s="7" t="n">
        <v>1916667</v>
      </c>
      <c r="X8" s="7" t="n">
        <v>1916667</v>
      </c>
      <c r="Y8" s="7" t="n">
        <v>1916667</v>
      </c>
      <c r="Z8" s="7" t="n">
        <v>2012500</v>
      </c>
      <c r="AA8" s="7" t="n">
        <v>2012500</v>
      </c>
      <c r="AB8" s="7" t="n">
        <v>2327500</v>
      </c>
      <c r="AC8" s="7" t="n">
        <v>2327500</v>
      </c>
      <c r="AD8" s="7" t="n">
        <v>2327500</v>
      </c>
      <c r="AE8" s="7" t="n">
        <v>2607500</v>
      </c>
      <c r="AF8" s="7" t="n">
        <v>2607500</v>
      </c>
      <c r="AG8" s="7" t="n">
        <v>2607500</v>
      </c>
      <c r="AH8" s="7" t="n">
        <v>3045000</v>
      </c>
      <c r="AI8" s="7" t="n">
        <v>3045000</v>
      </c>
      <c r="AJ8" s="7" t="n">
        <v>3045000</v>
      </c>
      <c r="AK8" s="7" t="n">
        <v>3045000</v>
      </c>
      <c r="AL8" s="7" t="n">
        <v>3197250</v>
      </c>
      <c r="AM8" s="7" t="n">
        <v>3197250</v>
      </c>
      <c r="AN8" s="7" t="n">
        <v>3197250</v>
      </c>
      <c r="AO8" s="7" t="n">
        <v>3197250</v>
      </c>
      <c r="AP8" s="9" t="n">
        <f aca="false">SUM(F8:M8)</f>
        <v>0</v>
      </c>
      <c r="AQ8" s="9" t="n">
        <f aca="false">SUM(N8:Y8)</f>
        <v>18950001</v>
      </c>
      <c r="AR8" s="9" t="n">
        <f aca="false">SUM(Z8:AK8)</f>
        <v>31010000</v>
      </c>
      <c r="AS8" s="9" t="n">
        <f aca="false">SUM(AL8:AO8)</f>
        <v>12789000</v>
      </c>
      <c r="AT8" s="2" t="s">
        <v>148</v>
      </c>
    </row>
    <row r="9" customFormat="false" ht="15" hidden="false" customHeight="false" outlineLevel="0" collapsed="false">
      <c r="A9" s="2" t="s">
        <v>141</v>
      </c>
      <c r="B9" s="17" t="s">
        <v>142</v>
      </c>
      <c r="C9" s="2" t="s">
        <v>150</v>
      </c>
      <c r="D9" s="17" t="s">
        <v>151</v>
      </c>
      <c r="E9" s="2" t="s">
        <v>127</v>
      </c>
      <c r="F9" s="7" t="n">
        <v>0</v>
      </c>
      <c r="G9" s="7" t="n">
        <v>50221</v>
      </c>
      <c r="H9" s="7" t="n">
        <v>50221</v>
      </c>
      <c r="I9" s="7" t="n">
        <v>50221</v>
      </c>
      <c r="J9" s="7" t="n">
        <v>78177</v>
      </c>
      <c r="K9" s="7" t="n">
        <v>78177</v>
      </c>
      <c r="L9" s="7" t="n">
        <v>78177</v>
      </c>
      <c r="M9" s="7" t="n">
        <v>78176</v>
      </c>
      <c r="N9" s="7" t="n">
        <v>1058400</v>
      </c>
      <c r="O9" s="7" t="n">
        <v>1058400</v>
      </c>
      <c r="P9" s="7" t="n">
        <v>1058400</v>
      </c>
      <c r="Q9" s="7" t="n">
        <v>1862000</v>
      </c>
      <c r="R9" s="7" t="n">
        <v>1862000</v>
      </c>
      <c r="S9" s="7" t="n">
        <v>1862000</v>
      </c>
      <c r="T9" s="7" t="n">
        <v>2254000</v>
      </c>
      <c r="U9" s="7" t="n">
        <v>2254000</v>
      </c>
      <c r="V9" s="7" t="n">
        <v>2254000</v>
      </c>
      <c r="W9" s="7" t="n">
        <v>2254000</v>
      </c>
      <c r="X9" s="7" t="n">
        <v>2254000</v>
      </c>
      <c r="Y9" s="7" t="n">
        <v>2254000</v>
      </c>
      <c r="Z9" s="7" t="n">
        <v>2366700</v>
      </c>
      <c r="AA9" s="7" t="n">
        <v>2366700</v>
      </c>
      <c r="AB9" s="7" t="n">
        <v>2737140</v>
      </c>
      <c r="AC9" s="7" t="n">
        <v>2737140</v>
      </c>
      <c r="AD9" s="7" t="n">
        <v>2737140</v>
      </c>
      <c r="AE9" s="7" t="n">
        <v>3066420</v>
      </c>
      <c r="AF9" s="7" t="n">
        <v>3066420</v>
      </c>
      <c r="AG9" s="7" t="n">
        <v>3066420</v>
      </c>
      <c r="AH9" s="7" t="n">
        <v>3580920</v>
      </c>
      <c r="AI9" s="7" t="n">
        <v>3580920</v>
      </c>
      <c r="AJ9" s="7" t="n">
        <v>3580920</v>
      </c>
      <c r="AK9" s="7" t="n">
        <v>3580920</v>
      </c>
      <c r="AL9" s="7" t="n">
        <v>3759966</v>
      </c>
      <c r="AM9" s="7" t="n">
        <v>3759966</v>
      </c>
      <c r="AN9" s="7" t="n">
        <v>3759966</v>
      </c>
      <c r="AO9" s="7" t="n">
        <v>3759966</v>
      </c>
      <c r="AP9" s="9" t="n">
        <f aca="false">SUM(F9:M9)</f>
        <v>463370</v>
      </c>
      <c r="AQ9" s="9" t="n">
        <f aca="false">SUM(N9:Y9)</f>
        <v>22285200</v>
      </c>
      <c r="AR9" s="9" t="n">
        <f aca="false">SUM(Z9:AK9)</f>
        <v>36467760</v>
      </c>
      <c r="AS9" s="9" t="n">
        <f aca="false">SUM(AL9:AO9)</f>
        <v>15039864</v>
      </c>
      <c r="AT9" s="2" t="s">
        <v>152</v>
      </c>
    </row>
    <row r="10" customFormat="false" ht="15" hidden="false" customHeight="false" outlineLevel="0" collapsed="false">
      <c r="A10" s="2" t="s">
        <v>141</v>
      </c>
      <c r="B10" s="17" t="s">
        <v>142</v>
      </c>
      <c r="C10" s="2" t="s">
        <v>153</v>
      </c>
      <c r="D10" s="2" t="s">
        <v>154</v>
      </c>
      <c r="E10" s="2" t="s">
        <v>112</v>
      </c>
      <c r="F10" s="7" t="n">
        <v>0</v>
      </c>
      <c r="G10" s="7" t="n">
        <v>261448</v>
      </c>
      <c r="H10" s="7" t="n">
        <v>261448</v>
      </c>
      <c r="I10" s="7" t="n">
        <v>261448</v>
      </c>
      <c r="J10" s="7" t="n">
        <v>406987</v>
      </c>
      <c r="K10" s="7" t="n">
        <v>406987</v>
      </c>
      <c r="L10" s="7" t="n">
        <v>406987</v>
      </c>
      <c r="M10" s="7" t="n">
        <v>406984</v>
      </c>
      <c r="N10" s="7" t="n">
        <v>750000</v>
      </c>
      <c r="O10" s="7" t="n">
        <v>1350000</v>
      </c>
      <c r="P10" s="7" t="n">
        <v>750000</v>
      </c>
      <c r="Q10" s="7" t="n">
        <v>1250000</v>
      </c>
      <c r="R10" s="7" t="n">
        <v>1250000</v>
      </c>
      <c r="S10" s="7" t="n">
        <v>1250000</v>
      </c>
      <c r="T10" s="7" t="n">
        <v>1500000</v>
      </c>
      <c r="U10" s="7" t="n">
        <v>1500000</v>
      </c>
      <c r="V10" s="7" t="n">
        <v>2700000</v>
      </c>
      <c r="W10" s="7" t="n">
        <v>1500000</v>
      </c>
      <c r="X10" s="7" t="n">
        <v>1500000</v>
      </c>
      <c r="Y10" s="7" t="n">
        <v>1500000</v>
      </c>
      <c r="Z10" s="7" t="n">
        <v>1500000</v>
      </c>
      <c r="AA10" s="7" t="n">
        <v>2700000</v>
      </c>
      <c r="AB10" s="7" t="n">
        <v>1750000</v>
      </c>
      <c r="AC10" s="7" t="n">
        <v>1750000</v>
      </c>
      <c r="AD10" s="7" t="n">
        <v>1750000</v>
      </c>
      <c r="AE10" s="7" t="n">
        <v>2000000</v>
      </c>
      <c r="AF10" s="7" t="n">
        <v>2000000</v>
      </c>
      <c r="AG10" s="7" t="n">
        <v>2000000</v>
      </c>
      <c r="AH10" s="7" t="n">
        <v>4050000</v>
      </c>
      <c r="AI10" s="7" t="n">
        <v>2250000</v>
      </c>
      <c r="AJ10" s="7" t="n">
        <v>2250000</v>
      </c>
      <c r="AK10" s="7" t="n">
        <v>2250000</v>
      </c>
      <c r="AL10" s="7" t="n">
        <v>2250000</v>
      </c>
      <c r="AM10" s="7" t="n">
        <v>4050000</v>
      </c>
      <c r="AN10" s="7" t="n">
        <v>2250000</v>
      </c>
      <c r="AO10" s="7" t="n">
        <v>2250000</v>
      </c>
      <c r="AP10" s="9" t="n">
        <f aca="false">SUM(F10:M10)</f>
        <v>2412289</v>
      </c>
      <c r="AQ10" s="9" t="n">
        <f aca="false">SUM(N10:Y10)</f>
        <v>16800000</v>
      </c>
      <c r="AR10" s="9" t="n">
        <f aca="false">SUM(Z10:AK10)</f>
        <v>26250000</v>
      </c>
      <c r="AS10" s="9" t="n">
        <f aca="false">SUM(AL10:AO10)</f>
        <v>10800000</v>
      </c>
      <c r="AT10" s="2" t="s">
        <v>155</v>
      </c>
    </row>
    <row r="11" customFormat="false" ht="15" hidden="false" customHeight="false" outlineLevel="0" collapsed="false">
      <c r="A11" s="2" t="s">
        <v>141</v>
      </c>
      <c r="B11" s="17" t="s">
        <v>156</v>
      </c>
      <c r="C11" s="2" t="s">
        <v>157</v>
      </c>
      <c r="D11" s="2" t="s">
        <v>158</v>
      </c>
      <c r="E11" s="2" t="s">
        <v>127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83333</v>
      </c>
      <c r="P11" s="7" t="n">
        <v>83333</v>
      </c>
      <c r="Q11" s="7" t="n">
        <v>83333</v>
      </c>
      <c r="R11" s="7" t="n">
        <v>156667</v>
      </c>
      <c r="S11" s="7" t="n">
        <v>156667</v>
      </c>
      <c r="T11" s="7" t="n">
        <v>156667</v>
      </c>
      <c r="U11" s="7" t="n">
        <v>193333</v>
      </c>
      <c r="V11" s="7" t="n">
        <v>193333</v>
      </c>
      <c r="W11" s="7" t="n">
        <v>193333</v>
      </c>
      <c r="X11" s="7" t="n">
        <v>193333</v>
      </c>
      <c r="Y11" s="7" t="n">
        <v>193333</v>
      </c>
      <c r="Z11" s="7" t="n">
        <v>343333</v>
      </c>
      <c r="AA11" s="7" t="n">
        <v>343333</v>
      </c>
      <c r="AB11" s="7" t="n">
        <v>343333</v>
      </c>
      <c r="AC11" s="7" t="n">
        <v>380000</v>
      </c>
      <c r="AD11" s="7" t="n">
        <v>380000</v>
      </c>
      <c r="AE11" s="7" t="n">
        <v>380000</v>
      </c>
      <c r="AF11" s="7" t="n">
        <v>380000</v>
      </c>
      <c r="AG11" s="7" t="n">
        <v>380000</v>
      </c>
      <c r="AH11" s="7" t="n">
        <v>380000</v>
      </c>
      <c r="AI11" s="7" t="n">
        <v>420000</v>
      </c>
      <c r="AJ11" s="7" t="n">
        <v>420000</v>
      </c>
      <c r="AK11" s="7" t="n">
        <v>420000</v>
      </c>
      <c r="AL11" s="7" t="n">
        <v>420000</v>
      </c>
      <c r="AM11" s="7" t="n">
        <v>420000</v>
      </c>
      <c r="AN11" s="7" t="n">
        <v>420000</v>
      </c>
      <c r="AO11" s="7" t="n">
        <v>420000</v>
      </c>
      <c r="AP11" s="9" t="n">
        <f aca="false">SUM(F11:M11)</f>
        <v>0</v>
      </c>
      <c r="AQ11" s="9" t="n">
        <f aca="false">SUM(N11:Y11)</f>
        <v>1686665</v>
      </c>
      <c r="AR11" s="9" t="n">
        <f aca="false">SUM(Z11:AK11)</f>
        <v>4569999</v>
      </c>
      <c r="AS11" s="9" t="n">
        <f aca="false">SUM(AL11:AO11)</f>
        <v>1680000</v>
      </c>
      <c r="AT11" s="2" t="s">
        <v>159</v>
      </c>
    </row>
    <row r="12" customFormat="false" ht="15" hidden="false" customHeight="false" outlineLevel="0" collapsed="false">
      <c r="A12" s="2" t="s">
        <v>141</v>
      </c>
      <c r="B12" s="17" t="s">
        <v>156</v>
      </c>
      <c r="C12" s="2" t="s">
        <v>160</v>
      </c>
      <c r="D12" s="2" t="s">
        <v>161</v>
      </c>
      <c r="E12" s="2" t="s">
        <v>127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25000</v>
      </c>
      <c r="Q12" s="7" t="n">
        <v>25000</v>
      </c>
      <c r="R12" s="7" t="n">
        <v>25000</v>
      </c>
      <c r="S12" s="7" t="n">
        <v>25000</v>
      </c>
      <c r="T12" s="7" t="n">
        <v>25000</v>
      </c>
      <c r="U12" s="7" t="n">
        <v>25000</v>
      </c>
      <c r="V12" s="7" t="n">
        <v>25000</v>
      </c>
      <c r="W12" s="7" t="n">
        <v>25000</v>
      </c>
      <c r="X12" s="7" t="n">
        <v>25000</v>
      </c>
      <c r="Y12" s="7" t="n">
        <v>25000</v>
      </c>
      <c r="Z12" s="7" t="n">
        <v>25000</v>
      </c>
      <c r="AA12" s="7" t="n">
        <v>25000</v>
      </c>
      <c r="AB12" s="7" t="n">
        <v>25000</v>
      </c>
      <c r="AC12" s="7" t="n">
        <v>25000</v>
      </c>
      <c r="AD12" s="7" t="n">
        <v>25000</v>
      </c>
      <c r="AE12" s="7" t="n">
        <v>58333</v>
      </c>
      <c r="AF12" s="7" t="n">
        <v>58333</v>
      </c>
      <c r="AG12" s="7" t="n">
        <v>58333</v>
      </c>
      <c r="AH12" s="7" t="n">
        <v>58333</v>
      </c>
      <c r="AI12" s="7" t="n">
        <v>58333</v>
      </c>
      <c r="AJ12" s="7" t="n">
        <v>58333</v>
      </c>
      <c r="AK12" s="7" t="n">
        <v>58333</v>
      </c>
      <c r="AL12" s="7" t="n">
        <v>58333</v>
      </c>
      <c r="AM12" s="7" t="n">
        <v>58333</v>
      </c>
      <c r="AN12" s="7" t="n">
        <v>58333</v>
      </c>
      <c r="AO12" s="7" t="n">
        <v>58333</v>
      </c>
      <c r="AP12" s="9" t="n">
        <f aca="false">SUM(F12:M12)</f>
        <v>0</v>
      </c>
      <c r="AQ12" s="9" t="n">
        <f aca="false">SUM(N12:Y12)</f>
        <v>250000</v>
      </c>
      <c r="AR12" s="9" t="n">
        <f aca="false">SUM(Z12:AK12)</f>
        <v>533331</v>
      </c>
      <c r="AS12" s="9" t="n">
        <f aca="false">SUM(AL12:AO12)</f>
        <v>233332</v>
      </c>
      <c r="AT12" s="2" t="s">
        <v>162</v>
      </c>
    </row>
    <row r="13" customFormat="false" ht="15" hidden="false" customHeight="false" outlineLevel="0" collapsed="false">
      <c r="A13" s="2" t="s">
        <v>141</v>
      </c>
      <c r="B13" s="17" t="s">
        <v>163</v>
      </c>
      <c r="C13" s="2" t="s">
        <v>164</v>
      </c>
      <c r="D13" s="2" t="s">
        <v>165</v>
      </c>
      <c r="E13" s="2" t="s">
        <v>112</v>
      </c>
      <c r="F13" s="7" t="n">
        <v>6883054</v>
      </c>
      <c r="G13" s="7" t="n">
        <v>6883054</v>
      </c>
      <c r="H13" s="7" t="n">
        <v>6883054</v>
      </c>
      <c r="I13" s="7" t="n">
        <v>4588702</v>
      </c>
      <c r="J13" s="7" t="n">
        <v>2294351</v>
      </c>
      <c r="K13" s="7" t="n">
        <v>1147176</v>
      </c>
      <c r="L13" s="7" t="n">
        <v>1147176</v>
      </c>
      <c r="M13" s="7" t="n">
        <v>1147174</v>
      </c>
      <c r="N13" s="7" t="n">
        <v>3000000</v>
      </c>
      <c r="O13" s="7" t="n">
        <v>3000000</v>
      </c>
      <c r="P13" s="7" t="n">
        <v>3000000</v>
      </c>
      <c r="Q13" s="7" t="n">
        <v>2000000</v>
      </c>
      <c r="R13" s="7" t="n">
        <v>2000000</v>
      </c>
      <c r="S13" s="7" t="n">
        <v>2000000</v>
      </c>
      <c r="T13" s="7" t="n">
        <v>2000000</v>
      </c>
      <c r="U13" s="7" t="n">
        <v>2000000</v>
      </c>
      <c r="V13" s="7" t="n">
        <v>2000000</v>
      </c>
      <c r="W13" s="7" t="n">
        <v>2000000</v>
      </c>
      <c r="X13" s="7" t="n">
        <v>4000000</v>
      </c>
      <c r="Y13" s="7" t="n">
        <v>4000000</v>
      </c>
      <c r="Z13" s="7" t="n">
        <v>4000000</v>
      </c>
      <c r="AA13" s="7" t="n">
        <v>4000000</v>
      </c>
      <c r="AB13" s="7" t="n">
        <v>4000000</v>
      </c>
      <c r="AC13" s="7" t="n">
        <v>4000000</v>
      </c>
      <c r="AD13" s="7" t="n">
        <v>4000000</v>
      </c>
      <c r="AE13" s="7" t="n">
        <v>4000000</v>
      </c>
      <c r="AF13" s="7" t="n">
        <v>4000000</v>
      </c>
      <c r="AG13" s="7" t="n">
        <v>4000000</v>
      </c>
      <c r="AH13" s="7" t="n">
        <v>4000000</v>
      </c>
      <c r="AI13" s="7" t="n">
        <v>4000000</v>
      </c>
      <c r="AJ13" s="7" t="n">
        <v>4000000</v>
      </c>
      <c r="AK13" s="7" t="n">
        <v>4000000</v>
      </c>
      <c r="AL13" s="7" t="n">
        <v>4000000</v>
      </c>
      <c r="AM13" s="7" t="n">
        <v>4000000</v>
      </c>
      <c r="AN13" s="7" t="n">
        <v>4000000</v>
      </c>
      <c r="AO13" s="7" t="n">
        <v>4000000</v>
      </c>
      <c r="AP13" s="9" t="n">
        <f aca="false">SUM(F13:M13)</f>
        <v>30973741</v>
      </c>
      <c r="AQ13" s="9" t="n">
        <f aca="false">SUM(N13:Y13)</f>
        <v>31000000</v>
      </c>
      <c r="AR13" s="9" t="n">
        <f aca="false">SUM(Z13:AK13)</f>
        <v>48000000</v>
      </c>
      <c r="AS13" s="9" t="n">
        <f aca="false">SUM(AL13:AO13)</f>
        <v>16000000</v>
      </c>
      <c r="AT13" s="2" t="s">
        <v>166</v>
      </c>
    </row>
    <row r="14" customFormat="false" ht="15" hidden="false" customHeight="false" outlineLevel="0" collapsed="false">
      <c r="A14" s="2" t="s">
        <v>141</v>
      </c>
      <c r="B14" s="17" t="s">
        <v>163</v>
      </c>
      <c r="C14" s="2" t="s">
        <v>167</v>
      </c>
      <c r="D14" s="2" t="s">
        <v>168</v>
      </c>
      <c r="E14" s="2" t="s">
        <v>112</v>
      </c>
      <c r="F14" s="7" t="n">
        <v>0</v>
      </c>
      <c r="G14" s="7" t="n">
        <v>300000</v>
      </c>
      <c r="H14" s="7" t="n">
        <v>300000</v>
      </c>
      <c r="I14" s="7" t="n">
        <v>300000</v>
      </c>
      <c r="J14" s="7" t="n">
        <v>200000</v>
      </c>
      <c r="K14" s="7" t="n">
        <v>200000</v>
      </c>
      <c r="L14" s="7" t="n">
        <v>200000</v>
      </c>
      <c r="M14" s="7" t="n">
        <v>200000</v>
      </c>
      <c r="N14" s="7" t="n">
        <v>350000</v>
      </c>
      <c r="O14" s="7" t="n">
        <v>350000</v>
      </c>
      <c r="P14" s="7" t="n">
        <v>350000</v>
      </c>
      <c r="Q14" s="7" t="n">
        <v>350000</v>
      </c>
      <c r="R14" s="7" t="n">
        <v>350000</v>
      </c>
      <c r="S14" s="7" t="n">
        <v>350000</v>
      </c>
      <c r="T14" s="7" t="n">
        <v>350000</v>
      </c>
      <c r="U14" s="7" t="n">
        <v>350000</v>
      </c>
      <c r="V14" s="7" t="n">
        <v>350000</v>
      </c>
      <c r="W14" s="7" t="n">
        <v>350000</v>
      </c>
      <c r="X14" s="7" t="n">
        <v>350000</v>
      </c>
      <c r="Y14" s="7" t="n">
        <v>350000</v>
      </c>
      <c r="Z14" s="7" t="n">
        <v>500000</v>
      </c>
      <c r="AA14" s="7" t="n">
        <v>500000</v>
      </c>
      <c r="AB14" s="7" t="n">
        <v>500000</v>
      </c>
      <c r="AC14" s="7" t="n">
        <v>500000</v>
      </c>
      <c r="AD14" s="7" t="n">
        <v>500000</v>
      </c>
      <c r="AE14" s="7" t="n">
        <v>500000</v>
      </c>
      <c r="AF14" s="7" t="n">
        <v>500000</v>
      </c>
      <c r="AG14" s="7" t="n">
        <v>500000</v>
      </c>
      <c r="AH14" s="7" t="n">
        <v>500000</v>
      </c>
      <c r="AI14" s="7" t="n">
        <v>500000</v>
      </c>
      <c r="AJ14" s="7" t="n">
        <v>500000</v>
      </c>
      <c r="AK14" s="7" t="n">
        <v>500000</v>
      </c>
      <c r="AL14" s="7" t="n">
        <v>500000</v>
      </c>
      <c r="AM14" s="7" t="n">
        <v>500000</v>
      </c>
      <c r="AN14" s="7" t="n">
        <v>500000</v>
      </c>
      <c r="AO14" s="7" t="n">
        <v>500000</v>
      </c>
      <c r="AP14" s="9" t="n">
        <f aca="false">SUM(F14:M14)</f>
        <v>1700000</v>
      </c>
      <c r="AQ14" s="9" t="n">
        <f aca="false">SUM(N14:Y14)</f>
        <v>4200000</v>
      </c>
      <c r="AR14" s="9" t="n">
        <f aca="false">SUM(Z14:AK14)</f>
        <v>6000000</v>
      </c>
      <c r="AS14" s="9" t="n">
        <f aca="false">SUM(AL14:AO14)</f>
        <v>2000000</v>
      </c>
      <c r="AT14" s="2" t="s">
        <v>166</v>
      </c>
    </row>
    <row r="15" customFormat="false" ht="15" hidden="false" customHeight="false" outlineLevel="0" collapsed="false">
      <c r="A15" s="2" t="s">
        <v>141</v>
      </c>
      <c r="B15" s="17" t="s">
        <v>163</v>
      </c>
      <c r="C15" s="2" t="s">
        <v>169</v>
      </c>
      <c r="D15" s="2" t="s">
        <v>170</v>
      </c>
      <c r="E15" s="2" t="s">
        <v>112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500000</v>
      </c>
      <c r="Q15" s="7" t="n">
        <v>500000</v>
      </c>
      <c r="R15" s="7" t="n">
        <v>500000</v>
      </c>
      <c r="S15" s="7" t="n">
        <v>500000</v>
      </c>
      <c r="T15" s="7" t="n">
        <v>500000</v>
      </c>
      <c r="U15" s="7" t="n">
        <v>500000</v>
      </c>
      <c r="V15" s="7" t="n">
        <v>500000</v>
      </c>
      <c r="W15" s="7" t="n">
        <v>500000</v>
      </c>
      <c r="X15" s="7" t="n">
        <v>500000</v>
      </c>
      <c r="Y15" s="7" t="n">
        <v>500000</v>
      </c>
      <c r="Z15" s="7" t="n">
        <v>800000</v>
      </c>
      <c r="AA15" s="7" t="n">
        <v>800000</v>
      </c>
      <c r="AB15" s="7" t="n">
        <v>800000</v>
      </c>
      <c r="AC15" s="7" t="n">
        <v>800000</v>
      </c>
      <c r="AD15" s="7" t="n">
        <v>800000</v>
      </c>
      <c r="AE15" s="7" t="n">
        <v>800000</v>
      </c>
      <c r="AF15" s="7" t="n">
        <v>800000</v>
      </c>
      <c r="AG15" s="7" t="n">
        <v>800000</v>
      </c>
      <c r="AH15" s="7" t="n">
        <v>800000</v>
      </c>
      <c r="AI15" s="7" t="n">
        <v>800000</v>
      </c>
      <c r="AJ15" s="7" t="n">
        <v>800000</v>
      </c>
      <c r="AK15" s="7" t="n">
        <v>800000</v>
      </c>
      <c r="AL15" s="7" t="n">
        <v>800000</v>
      </c>
      <c r="AM15" s="7" t="n">
        <v>800000</v>
      </c>
      <c r="AN15" s="7" t="n">
        <v>800000</v>
      </c>
      <c r="AO15" s="7" t="n">
        <v>800000</v>
      </c>
      <c r="AP15" s="9" t="n">
        <f aca="false">SUM(F15:M15)</f>
        <v>0</v>
      </c>
      <c r="AQ15" s="9" t="n">
        <f aca="false">SUM(N15:Y15)</f>
        <v>5000000</v>
      </c>
      <c r="AR15" s="9" t="n">
        <f aca="false">SUM(Z15:AK15)</f>
        <v>9600000</v>
      </c>
      <c r="AS15" s="9" t="n">
        <f aca="false">SUM(AL15:AO15)</f>
        <v>3200000</v>
      </c>
      <c r="AT15" s="2" t="s">
        <v>166</v>
      </c>
    </row>
    <row r="16" customFormat="false" ht="15" hidden="false" customHeight="false" outlineLevel="0" collapsed="false">
      <c r="A16" s="2" t="s">
        <v>141</v>
      </c>
      <c r="B16" s="17" t="s">
        <v>171</v>
      </c>
      <c r="C16" s="2" t="s">
        <v>172</v>
      </c>
      <c r="D16" s="2" t="s">
        <v>173</v>
      </c>
      <c r="E16" s="2" t="s">
        <v>112</v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800000</v>
      </c>
      <c r="K16" s="7" t="n">
        <v>900000</v>
      </c>
      <c r="L16" s="7" t="n">
        <v>700000</v>
      </c>
      <c r="M16" s="7" t="n">
        <v>600000</v>
      </c>
      <c r="N16" s="7" t="n">
        <v>1120000</v>
      </c>
      <c r="O16" s="7" t="n">
        <v>1500000</v>
      </c>
      <c r="P16" s="7" t="n">
        <v>2080000</v>
      </c>
      <c r="Q16" s="7" t="n">
        <v>1940000</v>
      </c>
      <c r="R16" s="7" t="n">
        <v>1600000</v>
      </c>
      <c r="S16" s="7" t="n">
        <v>1540000</v>
      </c>
      <c r="T16" s="7" t="n">
        <v>1900000</v>
      </c>
      <c r="U16" s="7" t="n">
        <v>2740000</v>
      </c>
      <c r="V16" s="7" t="n">
        <v>3740000</v>
      </c>
      <c r="W16" s="7" t="n">
        <v>3260000</v>
      </c>
      <c r="X16" s="7" t="n">
        <v>2680000</v>
      </c>
      <c r="Y16" s="7" t="n">
        <v>2260000</v>
      </c>
      <c r="Z16" s="7" t="n">
        <v>3816000</v>
      </c>
      <c r="AA16" s="7" t="n">
        <v>4800000</v>
      </c>
      <c r="AB16" s="7" t="n">
        <v>6288000</v>
      </c>
      <c r="AC16" s="7" t="n">
        <v>5544000</v>
      </c>
      <c r="AD16" s="7" t="n">
        <v>4296000</v>
      </c>
      <c r="AE16" s="7" t="n">
        <v>3912000</v>
      </c>
      <c r="AF16" s="7" t="n">
        <v>4536000</v>
      </c>
      <c r="AG16" s="7" t="n">
        <v>6240000</v>
      </c>
      <c r="AH16" s="7" t="n">
        <v>8040000</v>
      </c>
      <c r="AI16" s="7" t="n">
        <v>6624000</v>
      </c>
      <c r="AJ16" s="7" t="n">
        <v>5112000</v>
      </c>
      <c r="AK16" s="7" t="n">
        <v>4104000</v>
      </c>
      <c r="AL16" s="7" t="n">
        <v>5876000</v>
      </c>
      <c r="AM16" s="7" t="n">
        <v>7332000</v>
      </c>
      <c r="AN16" s="7" t="n">
        <v>9516000</v>
      </c>
      <c r="AO16" s="7" t="n">
        <v>8320000</v>
      </c>
      <c r="AP16" s="9" t="n">
        <f aca="false">SUM(F16:M16)</f>
        <v>3000000</v>
      </c>
      <c r="AQ16" s="9" t="n">
        <f aca="false">SUM(N16:Y16)</f>
        <v>26360000</v>
      </c>
      <c r="AR16" s="9" t="n">
        <f aca="false">SUM(Z16:AK16)</f>
        <v>63312000</v>
      </c>
      <c r="AS16" s="9" t="n">
        <f aca="false">SUM(AL16:AO16)</f>
        <v>31044000</v>
      </c>
      <c r="AT16" s="2" t="s">
        <v>174</v>
      </c>
    </row>
    <row r="17" customFormat="false" ht="15" hidden="false" customHeight="false" outlineLevel="0" collapsed="false">
      <c r="A17" s="2" t="s">
        <v>141</v>
      </c>
      <c r="B17" s="17" t="s">
        <v>171</v>
      </c>
      <c r="C17" s="2" t="s">
        <v>172</v>
      </c>
      <c r="D17" s="2" t="s">
        <v>175</v>
      </c>
      <c r="E17" s="2" t="s">
        <v>112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800000</v>
      </c>
      <c r="P17" s="7" t="n">
        <v>726000</v>
      </c>
      <c r="Q17" s="7" t="n">
        <v>720960</v>
      </c>
      <c r="R17" s="7" t="n">
        <v>755606</v>
      </c>
      <c r="S17" s="7" t="n">
        <v>756355</v>
      </c>
      <c r="T17" s="7" t="n">
        <v>798870</v>
      </c>
      <c r="U17" s="7" t="n">
        <v>899836</v>
      </c>
      <c r="V17" s="7" t="n">
        <v>1023877</v>
      </c>
      <c r="W17" s="7" t="n">
        <v>983571</v>
      </c>
      <c r="X17" s="7" t="n">
        <v>925458</v>
      </c>
      <c r="Y17" s="7" t="n">
        <v>886425</v>
      </c>
      <c r="Z17" s="7" t="n">
        <v>988110</v>
      </c>
      <c r="AA17" s="7" t="n">
        <v>1099935</v>
      </c>
      <c r="AB17" s="7" t="n">
        <v>1270606</v>
      </c>
      <c r="AC17" s="7" t="n">
        <v>1205826</v>
      </c>
      <c r="AD17" s="7" t="n">
        <v>1078902</v>
      </c>
      <c r="AE17" s="7" t="n">
        <v>1048684</v>
      </c>
      <c r="AF17" s="7" t="n">
        <v>1132045</v>
      </c>
      <c r="AG17" s="7" t="n">
        <v>1347743</v>
      </c>
      <c r="AH17" s="7" t="n">
        <v>1585228</v>
      </c>
      <c r="AI17" s="7" t="n">
        <v>1430827</v>
      </c>
      <c r="AJ17" s="7" t="n">
        <v>1256849</v>
      </c>
      <c r="AK17" s="7" t="n">
        <v>1138547</v>
      </c>
      <c r="AL17" s="7" t="n">
        <v>1313191</v>
      </c>
      <c r="AM17" s="7" t="n">
        <v>1497828</v>
      </c>
      <c r="AN17" s="7" t="n">
        <v>1776971</v>
      </c>
      <c r="AO17" s="7" t="n">
        <v>1639097</v>
      </c>
      <c r="AP17" s="9" t="n">
        <f aca="false">SUM(F17:M17)</f>
        <v>0</v>
      </c>
      <c r="AQ17" s="9" t="n">
        <f aca="false">SUM(N17:Y17)</f>
        <v>9276958</v>
      </c>
      <c r="AR17" s="9" t="n">
        <f aca="false">SUM(Z17:AK17)</f>
        <v>14583302</v>
      </c>
      <c r="AS17" s="9" t="n">
        <f aca="false">SUM(AL17:AO17)</f>
        <v>6227087</v>
      </c>
      <c r="AT17" s="2" t="s">
        <v>174</v>
      </c>
    </row>
    <row r="18" customFormat="false" ht="15" hidden="false" customHeight="false" outlineLevel="0" collapsed="false">
      <c r="A18" s="2" t="s">
        <v>141</v>
      </c>
      <c r="B18" s="17" t="s">
        <v>171</v>
      </c>
      <c r="C18" s="2" t="s">
        <v>172</v>
      </c>
      <c r="D18" s="2" t="s">
        <v>176</v>
      </c>
      <c r="E18" s="2" t="s">
        <v>112</v>
      </c>
      <c r="F18" s="7" t="n">
        <v>0</v>
      </c>
      <c r="G18" s="7" t="n">
        <v>300000</v>
      </c>
      <c r="H18" s="7" t="n">
        <v>300000</v>
      </c>
      <c r="I18" s="7" t="n">
        <v>400000</v>
      </c>
      <c r="J18" s="7" t="n">
        <v>400000</v>
      </c>
      <c r="K18" s="7" t="n">
        <v>1000000</v>
      </c>
      <c r="L18" s="7" t="n">
        <v>300000</v>
      </c>
      <c r="M18" s="7" t="n">
        <v>300000</v>
      </c>
      <c r="N18" s="7" t="n">
        <v>300000</v>
      </c>
      <c r="O18" s="7" t="n">
        <v>300000</v>
      </c>
      <c r="P18" s="7" t="n">
        <v>1800000</v>
      </c>
      <c r="Q18" s="7" t="n">
        <v>300000</v>
      </c>
      <c r="R18" s="7" t="n">
        <v>300000</v>
      </c>
      <c r="S18" s="7" t="n">
        <v>300000</v>
      </c>
      <c r="T18" s="7" t="n">
        <v>300000</v>
      </c>
      <c r="U18" s="7" t="n">
        <v>300000</v>
      </c>
      <c r="V18" s="7" t="n">
        <v>1800000</v>
      </c>
      <c r="W18" s="7" t="n">
        <v>300000</v>
      </c>
      <c r="X18" s="7" t="n">
        <v>300000</v>
      </c>
      <c r="Y18" s="7" t="n">
        <v>300000</v>
      </c>
      <c r="Z18" s="7" t="n">
        <v>300000</v>
      </c>
      <c r="AA18" s="7" t="n">
        <v>300000</v>
      </c>
      <c r="AB18" s="7" t="n">
        <v>2800000</v>
      </c>
      <c r="AC18" s="7" t="n">
        <v>300000</v>
      </c>
      <c r="AD18" s="7" t="n">
        <v>300000</v>
      </c>
      <c r="AE18" s="7" t="n">
        <v>300000</v>
      </c>
      <c r="AF18" s="7" t="n">
        <v>300000</v>
      </c>
      <c r="AG18" s="7" t="n">
        <v>300000</v>
      </c>
      <c r="AH18" s="7" t="n">
        <v>2800000</v>
      </c>
      <c r="AI18" s="7" t="n">
        <v>300000</v>
      </c>
      <c r="AJ18" s="7" t="n">
        <v>300000</v>
      </c>
      <c r="AK18" s="7" t="n">
        <v>300000</v>
      </c>
      <c r="AL18" s="7" t="n">
        <v>300000</v>
      </c>
      <c r="AM18" s="7" t="n">
        <v>300000</v>
      </c>
      <c r="AN18" s="7" t="n">
        <v>2800000</v>
      </c>
      <c r="AO18" s="7" t="n">
        <v>300000</v>
      </c>
      <c r="AP18" s="9" t="n">
        <f aca="false">SUM(F18:M18)</f>
        <v>3000000</v>
      </c>
      <c r="AQ18" s="9" t="n">
        <f aca="false">SUM(N18:Y18)</f>
        <v>6600000</v>
      </c>
      <c r="AR18" s="9" t="n">
        <f aca="false">SUM(Z18:AK18)</f>
        <v>8600000</v>
      </c>
      <c r="AS18" s="9" t="n">
        <f aca="false">SUM(AL18:AO18)</f>
        <v>3700000</v>
      </c>
      <c r="AT18" s="2" t="s">
        <v>174</v>
      </c>
    </row>
    <row r="19" customFormat="false" ht="15" hidden="false" customHeight="false" outlineLevel="0" collapsed="false">
      <c r="A19" s="2" t="s">
        <v>141</v>
      </c>
      <c r="B19" s="17" t="s">
        <v>171</v>
      </c>
      <c r="C19" s="2" t="s">
        <v>177</v>
      </c>
      <c r="D19" s="2" t="s">
        <v>178</v>
      </c>
      <c r="E19" s="2" t="s">
        <v>112</v>
      </c>
      <c r="F19" s="7" t="n">
        <v>0</v>
      </c>
      <c r="G19" s="7" t="n">
        <v>0</v>
      </c>
      <c r="H19" s="7" t="n">
        <v>0</v>
      </c>
      <c r="I19" s="7" t="n">
        <v>200000</v>
      </c>
      <c r="J19" s="7" t="n">
        <v>200000</v>
      </c>
      <c r="K19" s="7" t="n">
        <v>200000</v>
      </c>
      <c r="L19" s="7" t="n">
        <v>200000</v>
      </c>
      <c r="M19" s="7" t="n">
        <v>200000</v>
      </c>
      <c r="N19" s="7" t="n">
        <v>400000</v>
      </c>
      <c r="O19" s="7" t="n">
        <v>1900000</v>
      </c>
      <c r="P19" s="7" t="n">
        <v>400000</v>
      </c>
      <c r="Q19" s="7" t="n">
        <v>400000</v>
      </c>
      <c r="R19" s="7" t="n">
        <v>400000</v>
      </c>
      <c r="S19" s="7" t="n">
        <v>400000</v>
      </c>
      <c r="T19" s="7" t="n">
        <v>400000</v>
      </c>
      <c r="U19" s="7" t="n">
        <v>1900000</v>
      </c>
      <c r="V19" s="7" t="n">
        <v>400000</v>
      </c>
      <c r="W19" s="7" t="n">
        <v>400000</v>
      </c>
      <c r="X19" s="7" t="n">
        <v>400000</v>
      </c>
      <c r="Y19" s="7" t="n">
        <v>400000</v>
      </c>
      <c r="Z19" s="7" t="n">
        <v>800000</v>
      </c>
      <c r="AA19" s="7" t="n">
        <v>2300000</v>
      </c>
      <c r="AB19" s="7" t="n">
        <v>800000</v>
      </c>
      <c r="AC19" s="7" t="n">
        <v>800000</v>
      </c>
      <c r="AD19" s="7" t="n">
        <v>800000</v>
      </c>
      <c r="AE19" s="7" t="n">
        <v>800000</v>
      </c>
      <c r="AF19" s="7" t="n">
        <v>800000</v>
      </c>
      <c r="AG19" s="7" t="n">
        <v>2300000</v>
      </c>
      <c r="AH19" s="7" t="n">
        <v>800000</v>
      </c>
      <c r="AI19" s="7" t="n">
        <v>800000</v>
      </c>
      <c r="AJ19" s="7" t="n">
        <v>800000</v>
      </c>
      <c r="AK19" s="7" t="n">
        <v>800000</v>
      </c>
      <c r="AL19" s="7" t="n">
        <v>1000000</v>
      </c>
      <c r="AM19" s="7" t="n">
        <v>2500000</v>
      </c>
      <c r="AN19" s="7" t="n">
        <v>1000000</v>
      </c>
      <c r="AO19" s="7" t="n">
        <v>1000000</v>
      </c>
      <c r="AP19" s="9" t="n">
        <f aca="false">SUM(F19:M19)</f>
        <v>1000000</v>
      </c>
      <c r="AQ19" s="9" t="n">
        <f aca="false">SUM(N19:Y19)</f>
        <v>7800000</v>
      </c>
      <c r="AR19" s="9" t="n">
        <f aca="false">SUM(Z19:AK19)</f>
        <v>12600000</v>
      </c>
      <c r="AS19" s="9" t="n">
        <f aca="false">SUM(AL19:AO19)</f>
        <v>5500000</v>
      </c>
      <c r="AT19" s="2" t="s">
        <v>174</v>
      </c>
    </row>
    <row r="20" customFormat="false" ht="15" hidden="false" customHeight="false" outlineLevel="0" collapsed="false">
      <c r="A20" s="2" t="s">
        <v>141</v>
      </c>
      <c r="B20" s="17" t="s">
        <v>179</v>
      </c>
      <c r="C20" s="2" t="s">
        <v>180</v>
      </c>
      <c r="D20" s="2" t="s">
        <v>181</v>
      </c>
      <c r="E20" s="2" t="s">
        <v>127</v>
      </c>
      <c r="F20" s="7" t="n">
        <v>0</v>
      </c>
      <c r="G20" s="7" t="n">
        <v>0</v>
      </c>
      <c r="H20" s="7" t="n">
        <v>0</v>
      </c>
      <c r="I20" s="7" t="n">
        <v>0</v>
      </c>
      <c r="J20" s="7" t="n">
        <v>0</v>
      </c>
      <c r="K20" s="7" t="n">
        <v>0</v>
      </c>
      <c r="L20" s="7" t="n">
        <v>0</v>
      </c>
      <c r="M20" s="7" t="n">
        <v>0</v>
      </c>
      <c r="N20" s="7" t="n">
        <v>330000</v>
      </c>
      <c r="O20" s="7" t="n">
        <v>330000</v>
      </c>
      <c r="P20" s="7" t="n">
        <v>330000</v>
      </c>
      <c r="Q20" s="7" t="n">
        <v>330000</v>
      </c>
      <c r="R20" s="7" t="n">
        <v>330000</v>
      </c>
      <c r="S20" s="7" t="n">
        <v>330000</v>
      </c>
      <c r="T20" s="7" t="n">
        <v>330000</v>
      </c>
      <c r="U20" s="7" t="n">
        <v>330000</v>
      </c>
      <c r="V20" s="7" t="n">
        <v>330000</v>
      </c>
      <c r="W20" s="7" t="n">
        <v>330000</v>
      </c>
      <c r="X20" s="7" t="n">
        <v>330000</v>
      </c>
      <c r="Y20" s="7" t="n">
        <v>330000</v>
      </c>
      <c r="Z20" s="7" t="n">
        <v>3300000</v>
      </c>
      <c r="AA20" s="7" t="n">
        <v>3300000</v>
      </c>
      <c r="AB20" s="7" t="n">
        <v>3300000</v>
      </c>
      <c r="AC20" s="7" t="n">
        <v>3300000</v>
      </c>
      <c r="AD20" s="7" t="n">
        <v>3300000</v>
      </c>
      <c r="AE20" s="7" t="n">
        <v>3300000</v>
      </c>
      <c r="AF20" s="7" t="n">
        <v>3300000</v>
      </c>
      <c r="AG20" s="7" t="n">
        <v>3300000</v>
      </c>
      <c r="AH20" s="7" t="n">
        <v>3300000</v>
      </c>
      <c r="AI20" s="7" t="n">
        <v>3300000</v>
      </c>
      <c r="AJ20" s="7" t="n">
        <v>3300000</v>
      </c>
      <c r="AK20" s="7" t="n">
        <v>3300000</v>
      </c>
      <c r="AL20" s="7" t="n">
        <v>3300000</v>
      </c>
      <c r="AM20" s="7" t="n">
        <v>3300000</v>
      </c>
      <c r="AN20" s="7" t="n">
        <v>3300000</v>
      </c>
      <c r="AO20" s="7" t="n">
        <v>3300000</v>
      </c>
      <c r="AP20" s="9" t="n">
        <f aca="false">SUM(F20:M20)</f>
        <v>0</v>
      </c>
      <c r="AQ20" s="9" t="n">
        <f aca="false">SUM(N20:Y20)</f>
        <v>3960000</v>
      </c>
      <c r="AR20" s="9" t="n">
        <f aca="false">SUM(Z20:AK20)</f>
        <v>39600000</v>
      </c>
      <c r="AS20" s="9" t="n">
        <f aca="false">SUM(AL20:AO20)</f>
        <v>13200000</v>
      </c>
      <c r="AT20" s="2" t="s">
        <v>182</v>
      </c>
    </row>
    <row r="21" customFormat="false" ht="15" hidden="false" customHeight="false" outlineLevel="0" collapsed="false">
      <c r="A21" s="2" t="s">
        <v>141</v>
      </c>
      <c r="B21" s="17" t="s">
        <v>179</v>
      </c>
      <c r="C21" s="2" t="s">
        <v>180</v>
      </c>
      <c r="D21" s="2" t="s">
        <v>183</v>
      </c>
      <c r="E21" s="2" t="s">
        <v>127</v>
      </c>
      <c r="F21" s="7" t="n">
        <v>0</v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  <c r="N21" s="7" t="n">
        <v>110000</v>
      </c>
      <c r="O21" s="7" t="n">
        <v>110000</v>
      </c>
      <c r="P21" s="7" t="n">
        <v>110000</v>
      </c>
      <c r="Q21" s="7" t="n">
        <v>110000</v>
      </c>
      <c r="R21" s="7" t="n">
        <v>110000</v>
      </c>
      <c r="S21" s="7" t="n">
        <v>110000</v>
      </c>
      <c r="T21" s="7" t="n">
        <v>110000</v>
      </c>
      <c r="U21" s="7" t="n">
        <v>110000</v>
      </c>
      <c r="V21" s="7" t="n">
        <v>110000</v>
      </c>
      <c r="W21" s="7" t="n">
        <v>110000</v>
      </c>
      <c r="X21" s="7" t="n">
        <v>110000</v>
      </c>
      <c r="Y21" s="7" t="n">
        <v>110000</v>
      </c>
      <c r="Z21" s="7" t="n">
        <v>220000</v>
      </c>
      <c r="AA21" s="7" t="n">
        <v>220000</v>
      </c>
      <c r="AB21" s="7" t="n">
        <v>220000</v>
      </c>
      <c r="AC21" s="7" t="n">
        <v>220000</v>
      </c>
      <c r="AD21" s="7" t="n">
        <v>220000</v>
      </c>
      <c r="AE21" s="7" t="n">
        <v>220000</v>
      </c>
      <c r="AF21" s="7" t="n">
        <v>220000</v>
      </c>
      <c r="AG21" s="7" t="n">
        <v>220000</v>
      </c>
      <c r="AH21" s="7" t="n">
        <v>220000</v>
      </c>
      <c r="AI21" s="7" t="n">
        <v>220000</v>
      </c>
      <c r="AJ21" s="7" t="n">
        <v>220000</v>
      </c>
      <c r="AK21" s="7" t="n">
        <v>220000</v>
      </c>
      <c r="AL21" s="7" t="n">
        <v>220000</v>
      </c>
      <c r="AM21" s="7" t="n">
        <v>220000</v>
      </c>
      <c r="AN21" s="7" t="n">
        <v>220000</v>
      </c>
      <c r="AO21" s="7" t="n">
        <v>220000</v>
      </c>
      <c r="AP21" s="9" t="n">
        <f aca="false">SUM(F21:M21)</f>
        <v>0</v>
      </c>
      <c r="AQ21" s="9" t="n">
        <f aca="false">SUM(N21:Y21)</f>
        <v>1320000</v>
      </c>
      <c r="AR21" s="9" t="n">
        <f aca="false">SUM(Z21:AK21)</f>
        <v>2640000</v>
      </c>
      <c r="AS21" s="9" t="n">
        <f aca="false">SUM(AL21:AO21)</f>
        <v>880000</v>
      </c>
      <c r="AT21" s="2" t="s">
        <v>184</v>
      </c>
    </row>
    <row r="22" customFormat="false" ht="15" hidden="false" customHeight="false" outlineLevel="0" collapsed="false">
      <c r="A22" s="2" t="s">
        <v>141</v>
      </c>
      <c r="B22" s="17" t="s">
        <v>179</v>
      </c>
      <c r="C22" s="17" t="s">
        <v>185</v>
      </c>
      <c r="D22" s="17" t="s">
        <v>186</v>
      </c>
      <c r="E22" s="2" t="s">
        <v>127</v>
      </c>
      <c r="F22" s="7" t="n">
        <v>18000</v>
      </c>
      <c r="G22" s="7" t="n">
        <v>18000</v>
      </c>
      <c r="H22" s="7" t="n">
        <v>18000</v>
      </c>
      <c r="I22" s="7" t="n">
        <v>18000</v>
      </c>
      <c r="J22" s="7" t="n">
        <v>18000</v>
      </c>
      <c r="K22" s="7" t="n">
        <v>18000</v>
      </c>
      <c r="L22" s="7" t="n">
        <v>18000</v>
      </c>
      <c r="M22" s="7" t="n">
        <v>18000</v>
      </c>
      <c r="N22" s="7" t="n">
        <v>36000</v>
      </c>
      <c r="O22" s="7" t="n">
        <v>36000</v>
      </c>
      <c r="P22" s="7" t="n">
        <v>36000</v>
      </c>
      <c r="Q22" s="7" t="n">
        <v>54000</v>
      </c>
      <c r="R22" s="7" t="n">
        <v>54000</v>
      </c>
      <c r="S22" s="7" t="n">
        <v>54000</v>
      </c>
      <c r="T22" s="7" t="n">
        <v>54000</v>
      </c>
      <c r="U22" s="7" t="n">
        <v>54000</v>
      </c>
      <c r="V22" s="7" t="n">
        <v>54000</v>
      </c>
      <c r="W22" s="7" t="n">
        <v>54000</v>
      </c>
      <c r="X22" s="7" t="n">
        <v>54000</v>
      </c>
      <c r="Y22" s="7" t="n">
        <v>54000</v>
      </c>
      <c r="Z22" s="7" t="n">
        <v>54000</v>
      </c>
      <c r="AA22" s="7" t="n">
        <v>54000</v>
      </c>
      <c r="AB22" s="7" t="n">
        <v>63000</v>
      </c>
      <c r="AC22" s="7" t="n">
        <v>63000</v>
      </c>
      <c r="AD22" s="7" t="n">
        <v>63000</v>
      </c>
      <c r="AE22" s="7" t="n">
        <v>72000</v>
      </c>
      <c r="AF22" s="7" t="n">
        <v>72000</v>
      </c>
      <c r="AG22" s="7" t="n">
        <v>72000</v>
      </c>
      <c r="AH22" s="7" t="n">
        <v>81000</v>
      </c>
      <c r="AI22" s="7" t="n">
        <v>81000</v>
      </c>
      <c r="AJ22" s="7" t="n">
        <v>81000</v>
      </c>
      <c r="AK22" s="7" t="n">
        <v>81000</v>
      </c>
      <c r="AL22" s="7" t="n">
        <v>81000</v>
      </c>
      <c r="AM22" s="7" t="n">
        <v>81000</v>
      </c>
      <c r="AN22" s="7" t="n">
        <v>81000</v>
      </c>
      <c r="AO22" s="7" t="n">
        <v>81000</v>
      </c>
      <c r="AP22" s="9" t="n">
        <f aca="false">SUM(F22:M22)</f>
        <v>144000</v>
      </c>
      <c r="AQ22" s="9" t="n">
        <f aca="false">SUM(N22:Y22)</f>
        <v>594000</v>
      </c>
      <c r="AR22" s="9" t="n">
        <f aca="false">SUM(Z22:AK22)</f>
        <v>837000</v>
      </c>
      <c r="AS22" s="9" t="n">
        <f aca="false">SUM(AL22:AO22)</f>
        <v>324000</v>
      </c>
      <c r="AT22" s="2" t="s">
        <v>187</v>
      </c>
    </row>
    <row r="23" customFormat="false" ht="15" hidden="false" customHeight="false" outlineLevel="0" collapsed="false">
      <c r="A23" s="2" t="s">
        <v>141</v>
      </c>
      <c r="B23" s="17" t="s">
        <v>179</v>
      </c>
      <c r="C23" s="17" t="s">
        <v>185</v>
      </c>
      <c r="D23" s="17" t="s">
        <v>188</v>
      </c>
      <c r="E23" s="2" t="s">
        <v>127</v>
      </c>
      <c r="F23" s="7" t="n">
        <v>0</v>
      </c>
      <c r="G23" s="7" t="n">
        <v>0</v>
      </c>
      <c r="H23" s="7" t="n">
        <v>0</v>
      </c>
      <c r="I23" s="7" t="n">
        <v>0</v>
      </c>
      <c r="J23" s="7" t="n">
        <v>28000</v>
      </c>
      <c r="K23" s="7" t="n">
        <v>28000</v>
      </c>
      <c r="L23" s="7" t="n">
        <v>28000</v>
      </c>
      <c r="M23" s="7" t="n">
        <v>28000</v>
      </c>
      <c r="N23" s="7" t="n">
        <v>56000</v>
      </c>
      <c r="O23" s="7" t="n">
        <v>56000</v>
      </c>
      <c r="P23" s="7" t="n">
        <v>56000</v>
      </c>
      <c r="Q23" s="7" t="n">
        <v>84000</v>
      </c>
      <c r="R23" s="7" t="n">
        <v>84000</v>
      </c>
      <c r="S23" s="7" t="n">
        <v>84000</v>
      </c>
      <c r="T23" s="7" t="n">
        <v>84000</v>
      </c>
      <c r="U23" s="7" t="n">
        <v>84000</v>
      </c>
      <c r="V23" s="7" t="n">
        <v>84000</v>
      </c>
      <c r="W23" s="7" t="n">
        <v>84000</v>
      </c>
      <c r="X23" s="7" t="n">
        <v>84000</v>
      </c>
      <c r="Y23" s="7" t="n">
        <v>84000</v>
      </c>
      <c r="Z23" s="7" t="n">
        <v>84000</v>
      </c>
      <c r="AA23" s="7" t="n">
        <v>84000</v>
      </c>
      <c r="AB23" s="7" t="n">
        <v>98000</v>
      </c>
      <c r="AC23" s="7" t="n">
        <v>98000</v>
      </c>
      <c r="AD23" s="7" t="n">
        <v>98000</v>
      </c>
      <c r="AE23" s="7" t="n">
        <v>112000</v>
      </c>
      <c r="AF23" s="7" t="n">
        <v>112000</v>
      </c>
      <c r="AG23" s="7" t="n">
        <v>112000</v>
      </c>
      <c r="AH23" s="7" t="n">
        <v>126000</v>
      </c>
      <c r="AI23" s="7" t="n">
        <v>126000</v>
      </c>
      <c r="AJ23" s="7" t="n">
        <v>126000</v>
      </c>
      <c r="AK23" s="7" t="n">
        <v>126000</v>
      </c>
      <c r="AL23" s="7" t="n">
        <v>126000</v>
      </c>
      <c r="AM23" s="7" t="n">
        <v>126000</v>
      </c>
      <c r="AN23" s="7" t="n">
        <v>126000</v>
      </c>
      <c r="AO23" s="7" t="n">
        <v>126000</v>
      </c>
      <c r="AP23" s="9" t="n">
        <f aca="false">SUM(F23:M23)</f>
        <v>112000</v>
      </c>
      <c r="AQ23" s="9" t="n">
        <f aca="false">SUM(N23:Y23)</f>
        <v>924000</v>
      </c>
      <c r="AR23" s="9" t="n">
        <f aca="false">SUM(Z23:AK23)</f>
        <v>1302000</v>
      </c>
      <c r="AS23" s="9" t="n">
        <f aca="false">SUM(AL23:AO23)</f>
        <v>504000</v>
      </c>
      <c r="AT23" s="2" t="s">
        <v>187</v>
      </c>
    </row>
    <row r="24" customFormat="false" ht="15" hidden="false" customHeight="false" outlineLevel="0" collapsed="false">
      <c r="A24" s="2" t="s">
        <v>141</v>
      </c>
      <c r="B24" s="17" t="s">
        <v>179</v>
      </c>
      <c r="C24" s="17" t="s">
        <v>185</v>
      </c>
      <c r="D24" s="2" t="s">
        <v>189</v>
      </c>
      <c r="E24" s="2" t="s">
        <v>127</v>
      </c>
      <c r="F24" s="7" t="n">
        <v>0</v>
      </c>
      <c r="G24" s="7" t="n">
        <v>0</v>
      </c>
      <c r="H24" s="7" t="n">
        <v>0</v>
      </c>
      <c r="I24" s="7" t="n">
        <v>0</v>
      </c>
      <c r="J24" s="7" t="n">
        <v>50000</v>
      </c>
      <c r="K24" s="7" t="n">
        <v>50000</v>
      </c>
      <c r="L24" s="7" t="n">
        <v>50000</v>
      </c>
      <c r="M24" s="7" t="n">
        <v>50000</v>
      </c>
      <c r="N24" s="7" t="n">
        <v>55000</v>
      </c>
      <c r="O24" s="7" t="n">
        <v>55000</v>
      </c>
      <c r="P24" s="7" t="n">
        <v>55000</v>
      </c>
      <c r="Q24" s="7" t="n">
        <v>55000</v>
      </c>
      <c r="R24" s="7" t="n">
        <v>55000</v>
      </c>
      <c r="S24" s="7" t="n">
        <v>55000</v>
      </c>
      <c r="T24" s="7" t="n">
        <v>55000</v>
      </c>
      <c r="U24" s="7" t="n">
        <v>55000</v>
      </c>
      <c r="V24" s="7" t="n">
        <v>55000</v>
      </c>
      <c r="W24" s="7" t="n">
        <v>55000</v>
      </c>
      <c r="X24" s="7" t="n">
        <v>55000</v>
      </c>
      <c r="Y24" s="7" t="n">
        <v>55000</v>
      </c>
      <c r="Z24" s="7" t="n">
        <v>77000</v>
      </c>
      <c r="AA24" s="7" t="n">
        <v>77000</v>
      </c>
      <c r="AB24" s="7" t="n">
        <v>77000</v>
      </c>
      <c r="AC24" s="7" t="n">
        <v>77000</v>
      </c>
      <c r="AD24" s="7" t="n">
        <v>77000</v>
      </c>
      <c r="AE24" s="7" t="n">
        <v>77000</v>
      </c>
      <c r="AF24" s="7" t="n">
        <v>77000</v>
      </c>
      <c r="AG24" s="7" t="n">
        <v>77000</v>
      </c>
      <c r="AH24" s="7" t="n">
        <v>77000</v>
      </c>
      <c r="AI24" s="7" t="n">
        <v>77000</v>
      </c>
      <c r="AJ24" s="7" t="n">
        <v>77000</v>
      </c>
      <c r="AK24" s="7" t="n">
        <v>77000</v>
      </c>
      <c r="AL24" s="7" t="n">
        <v>77000</v>
      </c>
      <c r="AM24" s="7" t="n">
        <v>77000</v>
      </c>
      <c r="AN24" s="7" t="n">
        <v>77000</v>
      </c>
      <c r="AO24" s="7" t="n">
        <v>77000</v>
      </c>
      <c r="AP24" s="9" t="n">
        <f aca="false">SUM(F24:M24)</f>
        <v>200000</v>
      </c>
      <c r="AQ24" s="9" t="n">
        <f aca="false">SUM(N24:Y24)</f>
        <v>660000</v>
      </c>
      <c r="AR24" s="9" t="n">
        <f aca="false">SUM(Z24:AK24)</f>
        <v>924000</v>
      </c>
      <c r="AS24" s="9" t="n">
        <f aca="false">SUM(AL24:AO24)</f>
        <v>308000</v>
      </c>
      <c r="AT24" s="2" t="s">
        <v>187</v>
      </c>
    </row>
    <row r="25" customFormat="false" ht="15" hidden="false" customHeight="false" outlineLevel="0" collapsed="false">
      <c r="A25" s="2" t="s">
        <v>141</v>
      </c>
      <c r="B25" s="17" t="s">
        <v>179</v>
      </c>
      <c r="C25" s="17" t="s">
        <v>185</v>
      </c>
      <c r="D25" s="17" t="s">
        <v>190</v>
      </c>
      <c r="E25" s="2" t="s">
        <v>127</v>
      </c>
      <c r="F25" s="7" t="n">
        <v>0</v>
      </c>
      <c r="G25" s="7" t="n">
        <v>77000</v>
      </c>
      <c r="H25" s="7" t="n">
        <v>77000</v>
      </c>
      <c r="I25" s="7" t="n">
        <v>77000</v>
      </c>
      <c r="J25" s="7" t="n">
        <v>77000</v>
      </c>
      <c r="K25" s="7" t="n">
        <v>77000</v>
      </c>
      <c r="L25" s="7" t="n">
        <v>77000</v>
      </c>
      <c r="M25" s="7" t="n">
        <v>77000</v>
      </c>
      <c r="N25" s="7" t="n">
        <v>77000</v>
      </c>
      <c r="O25" s="7" t="n">
        <v>77000</v>
      </c>
      <c r="P25" s="7" t="n">
        <v>77000</v>
      </c>
      <c r="Q25" s="7" t="n">
        <v>77000</v>
      </c>
      <c r="R25" s="7" t="n">
        <v>77000</v>
      </c>
      <c r="S25" s="7" t="n">
        <v>77000</v>
      </c>
      <c r="T25" s="7" t="n">
        <v>77000</v>
      </c>
      <c r="U25" s="7" t="n">
        <v>77000</v>
      </c>
      <c r="V25" s="7" t="n">
        <v>77000</v>
      </c>
      <c r="W25" s="7" t="n">
        <v>77000</v>
      </c>
      <c r="X25" s="7" t="n">
        <v>77000</v>
      </c>
      <c r="Y25" s="7" t="n">
        <v>77000</v>
      </c>
      <c r="Z25" s="7" t="n">
        <v>154000</v>
      </c>
      <c r="AA25" s="7" t="n">
        <v>154000</v>
      </c>
      <c r="AB25" s="7" t="n">
        <v>154000</v>
      </c>
      <c r="AC25" s="7" t="n">
        <v>154000</v>
      </c>
      <c r="AD25" s="7" t="n">
        <v>154000</v>
      </c>
      <c r="AE25" s="7" t="n">
        <v>154000</v>
      </c>
      <c r="AF25" s="7" t="n">
        <v>154000</v>
      </c>
      <c r="AG25" s="7" t="n">
        <v>154000</v>
      </c>
      <c r="AH25" s="7" t="n">
        <v>154000</v>
      </c>
      <c r="AI25" s="7" t="n">
        <v>154000</v>
      </c>
      <c r="AJ25" s="7" t="n">
        <v>154000</v>
      </c>
      <c r="AK25" s="7" t="n">
        <v>154000</v>
      </c>
      <c r="AL25" s="7" t="n">
        <v>154000</v>
      </c>
      <c r="AM25" s="7" t="n">
        <v>154000</v>
      </c>
      <c r="AN25" s="7" t="n">
        <v>154000</v>
      </c>
      <c r="AO25" s="7" t="n">
        <v>154000</v>
      </c>
      <c r="AP25" s="9" t="n">
        <f aca="false">SUM(F25:M25)</f>
        <v>539000</v>
      </c>
      <c r="AQ25" s="9" t="n">
        <f aca="false">SUM(N25:Y25)</f>
        <v>924000</v>
      </c>
      <c r="AR25" s="9" t="n">
        <f aca="false">SUM(Z25:AK25)</f>
        <v>1848000</v>
      </c>
      <c r="AS25" s="9" t="n">
        <f aca="false">SUM(AL25:AO25)</f>
        <v>616000</v>
      </c>
      <c r="AT25" s="2" t="s">
        <v>187</v>
      </c>
    </row>
    <row r="26" customFormat="false" ht="15" hidden="false" customHeight="false" outlineLevel="0" collapsed="false">
      <c r="A26" s="2" t="s">
        <v>141</v>
      </c>
      <c r="B26" s="17" t="s">
        <v>179</v>
      </c>
      <c r="C26" s="2" t="s">
        <v>191</v>
      </c>
      <c r="D26" s="2" t="s">
        <v>192</v>
      </c>
      <c r="E26" s="2" t="s">
        <v>112</v>
      </c>
      <c r="F26" s="7" t="n">
        <v>1000000</v>
      </c>
      <c r="G26" s="7" t="n">
        <v>150000</v>
      </c>
      <c r="H26" s="7" t="n">
        <v>150000</v>
      </c>
      <c r="I26" s="7" t="n">
        <v>150000</v>
      </c>
      <c r="J26" s="7" t="n">
        <v>150000</v>
      </c>
      <c r="K26" s="7" t="n">
        <v>150000</v>
      </c>
      <c r="L26" s="7" t="n">
        <v>150000</v>
      </c>
      <c r="M26" s="7" t="n">
        <v>150000</v>
      </c>
      <c r="N26" s="7" t="n">
        <v>220000</v>
      </c>
      <c r="O26" s="7" t="n">
        <v>220000</v>
      </c>
      <c r="P26" s="7" t="n">
        <v>1720000</v>
      </c>
      <c r="Q26" s="7" t="n">
        <v>3720000</v>
      </c>
      <c r="R26" s="7" t="n">
        <v>220000</v>
      </c>
      <c r="S26" s="7" t="n">
        <v>220000</v>
      </c>
      <c r="T26" s="7" t="n">
        <v>220000</v>
      </c>
      <c r="U26" s="7" t="n">
        <v>220000</v>
      </c>
      <c r="V26" s="7" t="n">
        <v>220000</v>
      </c>
      <c r="W26" s="7" t="n">
        <v>220000</v>
      </c>
      <c r="X26" s="7" t="n">
        <v>220000</v>
      </c>
      <c r="Y26" s="7" t="n">
        <v>220000</v>
      </c>
      <c r="Z26" s="7" t="n">
        <v>300000</v>
      </c>
      <c r="AA26" s="7" t="n">
        <v>300000</v>
      </c>
      <c r="AB26" s="7" t="n">
        <v>2300000</v>
      </c>
      <c r="AC26" s="7" t="n">
        <v>300000</v>
      </c>
      <c r="AD26" s="7" t="n">
        <v>300000</v>
      </c>
      <c r="AE26" s="7" t="n">
        <v>300000</v>
      </c>
      <c r="AF26" s="7" t="n">
        <v>300000</v>
      </c>
      <c r="AG26" s="7" t="n">
        <v>300000</v>
      </c>
      <c r="AH26" s="7" t="n">
        <v>300000</v>
      </c>
      <c r="AI26" s="7" t="n">
        <v>300000</v>
      </c>
      <c r="AJ26" s="7" t="n">
        <v>300000</v>
      </c>
      <c r="AK26" s="7" t="n">
        <v>300000</v>
      </c>
      <c r="AL26" s="7" t="n">
        <v>300000</v>
      </c>
      <c r="AM26" s="7" t="n">
        <v>300000</v>
      </c>
      <c r="AN26" s="7" t="n">
        <v>2800000</v>
      </c>
      <c r="AO26" s="7" t="n">
        <v>300000</v>
      </c>
      <c r="AP26" s="9" t="n">
        <f aca="false">SUM(F26:M26)</f>
        <v>2050000</v>
      </c>
      <c r="AQ26" s="9" t="n">
        <f aca="false">SUM(N26:Y26)</f>
        <v>7640000</v>
      </c>
      <c r="AR26" s="9" t="n">
        <f aca="false">SUM(Z26:AK26)</f>
        <v>5600000</v>
      </c>
      <c r="AS26" s="9" t="n">
        <f aca="false">SUM(AL26:AO26)</f>
        <v>3700000</v>
      </c>
      <c r="AT26" s="2" t="s">
        <v>187</v>
      </c>
    </row>
    <row r="27" customFormat="false" ht="15" hidden="false" customHeight="false" outlineLevel="0" collapsed="false">
      <c r="A27" s="2" t="s">
        <v>141</v>
      </c>
      <c r="B27" s="17" t="s">
        <v>179</v>
      </c>
      <c r="C27" s="2" t="s">
        <v>169</v>
      </c>
      <c r="D27" s="2" t="s">
        <v>193</v>
      </c>
      <c r="E27" s="2" t="s">
        <v>112</v>
      </c>
      <c r="F27" s="7" t="n">
        <v>0</v>
      </c>
      <c r="G27" s="7" t="n">
        <v>0</v>
      </c>
      <c r="H27" s="7" t="n">
        <v>0</v>
      </c>
      <c r="I27" s="7" t="n">
        <v>13940</v>
      </c>
      <c r="J27" s="7" t="n">
        <v>13940</v>
      </c>
      <c r="K27" s="7" t="n">
        <v>13940</v>
      </c>
      <c r="L27" s="7" t="n">
        <v>27879</v>
      </c>
      <c r="M27" s="7" t="n">
        <v>13938</v>
      </c>
      <c r="N27" s="7" t="n">
        <v>80000</v>
      </c>
      <c r="O27" s="7" t="n">
        <v>80000</v>
      </c>
      <c r="P27" s="7" t="n">
        <v>80000</v>
      </c>
      <c r="Q27" s="7" t="n">
        <v>380000</v>
      </c>
      <c r="R27" s="7" t="n">
        <v>80000</v>
      </c>
      <c r="S27" s="7" t="n">
        <v>80000</v>
      </c>
      <c r="T27" s="7" t="n">
        <v>80000</v>
      </c>
      <c r="U27" s="7" t="n">
        <v>80000</v>
      </c>
      <c r="V27" s="7" t="n">
        <v>80000</v>
      </c>
      <c r="W27" s="7" t="n">
        <v>380000</v>
      </c>
      <c r="X27" s="7" t="n">
        <v>80000</v>
      </c>
      <c r="Y27" s="7" t="n">
        <v>80000</v>
      </c>
      <c r="Z27" s="7" t="n">
        <v>250000</v>
      </c>
      <c r="AA27" s="7" t="n">
        <v>250000</v>
      </c>
      <c r="AB27" s="7" t="n">
        <v>250000</v>
      </c>
      <c r="AC27" s="7" t="n">
        <v>550000</v>
      </c>
      <c r="AD27" s="7" t="n">
        <v>250000</v>
      </c>
      <c r="AE27" s="7" t="n">
        <v>250000</v>
      </c>
      <c r="AF27" s="7" t="n">
        <v>250000</v>
      </c>
      <c r="AG27" s="7" t="n">
        <v>250000</v>
      </c>
      <c r="AH27" s="7" t="n">
        <v>250000</v>
      </c>
      <c r="AI27" s="7" t="n">
        <v>550000</v>
      </c>
      <c r="AJ27" s="7" t="n">
        <v>250000</v>
      </c>
      <c r="AK27" s="7" t="n">
        <v>250000</v>
      </c>
      <c r="AL27" s="7" t="n">
        <v>250000</v>
      </c>
      <c r="AM27" s="7" t="n">
        <v>250000</v>
      </c>
      <c r="AN27" s="7" t="n">
        <v>250000</v>
      </c>
      <c r="AO27" s="7" t="n">
        <v>550000</v>
      </c>
      <c r="AP27" s="9" t="n">
        <f aca="false">SUM(F27:M27)</f>
        <v>83637</v>
      </c>
      <c r="AQ27" s="9" t="n">
        <f aca="false">SUM(N27:Y27)</f>
        <v>1560000</v>
      </c>
      <c r="AR27" s="9" t="n">
        <f aca="false">SUM(Z27:AK27)</f>
        <v>3600000</v>
      </c>
      <c r="AS27" s="9" t="n">
        <f aca="false">SUM(AL27:AO27)</f>
        <v>1300000</v>
      </c>
      <c r="AT27" s="2" t="s">
        <v>193</v>
      </c>
    </row>
    <row r="28" customFormat="false" ht="15" hidden="false" customHeight="false" outlineLevel="0" collapsed="false">
      <c r="A28" s="2" t="s">
        <v>141</v>
      </c>
      <c r="B28" s="17" t="s">
        <v>179</v>
      </c>
      <c r="C28" s="2" t="s">
        <v>169</v>
      </c>
      <c r="D28" s="2" t="s">
        <v>194</v>
      </c>
      <c r="E28" s="2" t="s">
        <v>112</v>
      </c>
      <c r="F28" s="7" t="n">
        <v>0</v>
      </c>
      <c r="G28" s="7" t="n">
        <v>115000</v>
      </c>
      <c r="H28" s="7" t="n">
        <v>115000</v>
      </c>
      <c r="I28" s="7" t="n">
        <v>115000</v>
      </c>
      <c r="J28" s="7" t="n">
        <v>115000</v>
      </c>
      <c r="K28" s="7" t="n">
        <v>230000</v>
      </c>
      <c r="L28" s="7" t="n">
        <v>230000</v>
      </c>
      <c r="M28" s="7" t="n">
        <v>115000</v>
      </c>
      <c r="N28" s="7" t="n">
        <v>150000</v>
      </c>
      <c r="O28" s="7" t="n">
        <v>150000</v>
      </c>
      <c r="P28" s="7" t="n">
        <v>150000</v>
      </c>
      <c r="Q28" s="7" t="n">
        <v>150000</v>
      </c>
      <c r="R28" s="7" t="n">
        <v>150000</v>
      </c>
      <c r="S28" s="7" t="n">
        <v>150000</v>
      </c>
      <c r="T28" s="7" t="n">
        <v>150000</v>
      </c>
      <c r="U28" s="7" t="n">
        <v>150000</v>
      </c>
      <c r="V28" s="7" t="n">
        <v>150000</v>
      </c>
      <c r="W28" s="7" t="n">
        <v>150000</v>
      </c>
      <c r="X28" s="7" t="n">
        <v>150000</v>
      </c>
      <c r="Y28" s="7" t="n">
        <v>150000</v>
      </c>
      <c r="Z28" s="7" t="n">
        <v>250000</v>
      </c>
      <c r="AA28" s="7" t="n">
        <v>250000</v>
      </c>
      <c r="AB28" s="7" t="n">
        <v>250000</v>
      </c>
      <c r="AC28" s="7" t="n">
        <v>250000</v>
      </c>
      <c r="AD28" s="7" t="n">
        <v>250000</v>
      </c>
      <c r="AE28" s="7" t="n">
        <v>250000</v>
      </c>
      <c r="AF28" s="7" t="n">
        <v>250000</v>
      </c>
      <c r="AG28" s="7" t="n">
        <v>250000</v>
      </c>
      <c r="AH28" s="7" t="n">
        <v>250000</v>
      </c>
      <c r="AI28" s="7" t="n">
        <v>250000</v>
      </c>
      <c r="AJ28" s="7" t="n">
        <v>250000</v>
      </c>
      <c r="AK28" s="7" t="n">
        <v>250000</v>
      </c>
      <c r="AL28" s="7" t="n">
        <v>250000</v>
      </c>
      <c r="AM28" s="7" t="n">
        <v>250000</v>
      </c>
      <c r="AN28" s="7" t="n">
        <v>250000</v>
      </c>
      <c r="AO28" s="7" t="n">
        <v>250000</v>
      </c>
      <c r="AP28" s="9" t="n">
        <f aca="false">SUM(F28:M28)</f>
        <v>1035000</v>
      </c>
      <c r="AQ28" s="9" t="n">
        <f aca="false">SUM(N28:Y28)</f>
        <v>1800000</v>
      </c>
      <c r="AR28" s="9" t="n">
        <f aca="false">SUM(Z28:AK28)</f>
        <v>3000000</v>
      </c>
      <c r="AS28" s="9" t="n">
        <f aca="false">SUM(AL28:AO28)</f>
        <v>1000000</v>
      </c>
      <c r="AT28" s="2" t="s">
        <v>195</v>
      </c>
    </row>
    <row r="29" customFormat="false" ht="15" hidden="false" customHeight="false" outlineLevel="0" collapsed="false">
      <c r="A29" s="2" t="s">
        <v>141</v>
      </c>
      <c r="B29" s="17" t="s">
        <v>179</v>
      </c>
      <c r="C29" s="2" t="s">
        <v>169</v>
      </c>
      <c r="D29" s="2" t="s">
        <v>196</v>
      </c>
      <c r="E29" s="2" t="s">
        <v>112</v>
      </c>
      <c r="F29" s="7" t="n">
        <v>613903</v>
      </c>
      <c r="G29" s="7" t="n">
        <v>102317</v>
      </c>
      <c r="H29" s="7" t="n">
        <v>102317</v>
      </c>
      <c r="I29" s="7" t="n">
        <v>102317</v>
      </c>
      <c r="J29" s="7" t="n">
        <v>102317</v>
      </c>
      <c r="K29" s="7" t="n">
        <v>102317</v>
      </c>
      <c r="L29" s="7" t="n">
        <v>102317</v>
      </c>
      <c r="M29" s="7" t="n">
        <v>204635</v>
      </c>
      <c r="N29" s="7" t="n">
        <v>100000</v>
      </c>
      <c r="O29" s="7" t="n">
        <v>100000</v>
      </c>
      <c r="P29" s="7" t="n">
        <v>100000</v>
      </c>
      <c r="Q29" s="7" t="n">
        <v>100000</v>
      </c>
      <c r="R29" s="7" t="n">
        <v>100000</v>
      </c>
      <c r="S29" s="7" t="n">
        <v>100000</v>
      </c>
      <c r="T29" s="7" t="n">
        <v>100000</v>
      </c>
      <c r="U29" s="7" t="n">
        <v>350000</v>
      </c>
      <c r="V29" s="7" t="n">
        <v>100000</v>
      </c>
      <c r="W29" s="7" t="n">
        <v>100000</v>
      </c>
      <c r="X29" s="7" t="n">
        <v>100000</v>
      </c>
      <c r="Y29" s="7" t="n">
        <v>100000</v>
      </c>
      <c r="Z29" s="7" t="n">
        <v>100000</v>
      </c>
      <c r="AA29" s="7" t="n">
        <v>100000</v>
      </c>
      <c r="AB29" s="7" t="n">
        <v>100000</v>
      </c>
      <c r="AC29" s="7" t="n">
        <v>100000</v>
      </c>
      <c r="AD29" s="7" t="n">
        <v>100000</v>
      </c>
      <c r="AE29" s="7" t="n">
        <v>100000</v>
      </c>
      <c r="AF29" s="7" t="n">
        <v>100000</v>
      </c>
      <c r="AG29" s="7" t="n">
        <v>350000</v>
      </c>
      <c r="AH29" s="7" t="n">
        <v>100000</v>
      </c>
      <c r="AI29" s="7" t="n">
        <v>100000</v>
      </c>
      <c r="AJ29" s="7" t="n">
        <v>100000</v>
      </c>
      <c r="AK29" s="7" t="n">
        <v>100000</v>
      </c>
      <c r="AL29" s="7" t="n">
        <v>100000</v>
      </c>
      <c r="AM29" s="7" t="n">
        <v>100000</v>
      </c>
      <c r="AN29" s="7" t="n">
        <v>100000</v>
      </c>
      <c r="AO29" s="7" t="n">
        <v>100000</v>
      </c>
      <c r="AP29" s="9" t="n">
        <f aca="false">SUM(F29:M29)</f>
        <v>1432440</v>
      </c>
      <c r="AQ29" s="9" t="n">
        <f aca="false">SUM(N29:Y29)</f>
        <v>1450000</v>
      </c>
      <c r="AR29" s="9" t="n">
        <f aca="false">SUM(Z29:AK29)</f>
        <v>1450000</v>
      </c>
      <c r="AS29" s="9" t="n">
        <f aca="false">SUM(AL29:AO29)</f>
        <v>400000</v>
      </c>
      <c r="AT29" s="2" t="s">
        <v>196</v>
      </c>
    </row>
    <row r="30" customFormat="false" ht="15" hidden="false" customHeight="false" outlineLevel="0" collapsed="false">
      <c r="A30" s="2" t="s">
        <v>141</v>
      </c>
      <c r="B30" s="17" t="s">
        <v>179</v>
      </c>
      <c r="C30" s="2" t="s">
        <v>169</v>
      </c>
      <c r="D30" s="2" t="s">
        <v>197</v>
      </c>
      <c r="E30" s="2" t="s">
        <v>112</v>
      </c>
      <c r="F30" s="7" t="n">
        <v>28592</v>
      </c>
      <c r="G30" s="7" t="n">
        <v>14296</v>
      </c>
      <c r="H30" s="7" t="n">
        <v>14296</v>
      </c>
      <c r="I30" s="7" t="n">
        <v>0</v>
      </c>
      <c r="J30" s="7" t="n">
        <v>14296</v>
      </c>
      <c r="K30" s="7" t="n">
        <v>0</v>
      </c>
      <c r="L30" s="7" t="n">
        <v>14296</v>
      </c>
      <c r="M30" s="7" t="n">
        <v>0</v>
      </c>
      <c r="N30" s="7" t="n">
        <v>250000</v>
      </c>
      <c r="O30" s="7" t="n">
        <v>50000</v>
      </c>
      <c r="P30" s="7" t="n">
        <v>50000</v>
      </c>
      <c r="Q30" s="7" t="n">
        <v>250000</v>
      </c>
      <c r="R30" s="7" t="n">
        <v>50000</v>
      </c>
      <c r="S30" s="7" t="n">
        <v>50000</v>
      </c>
      <c r="T30" s="7" t="n">
        <v>250000</v>
      </c>
      <c r="U30" s="7" t="n">
        <v>50000</v>
      </c>
      <c r="V30" s="7" t="n">
        <v>50000</v>
      </c>
      <c r="W30" s="7" t="n">
        <v>50000</v>
      </c>
      <c r="X30" s="7" t="n">
        <v>50000</v>
      </c>
      <c r="Y30" s="7" t="n">
        <v>250000</v>
      </c>
      <c r="Z30" s="7" t="n">
        <v>50000</v>
      </c>
      <c r="AA30" s="7" t="n">
        <v>50000</v>
      </c>
      <c r="AB30" s="7" t="n">
        <v>250000</v>
      </c>
      <c r="AC30" s="7" t="n">
        <v>50000</v>
      </c>
      <c r="AD30" s="7" t="n">
        <v>50000</v>
      </c>
      <c r="AE30" s="7" t="n">
        <v>50000</v>
      </c>
      <c r="AF30" s="7" t="n">
        <v>50000</v>
      </c>
      <c r="AG30" s="7" t="n">
        <v>50000</v>
      </c>
      <c r="AH30" s="7" t="n">
        <v>250000</v>
      </c>
      <c r="AI30" s="7" t="n">
        <v>50000</v>
      </c>
      <c r="AJ30" s="7" t="n">
        <v>50000</v>
      </c>
      <c r="AK30" s="7" t="n">
        <v>50000</v>
      </c>
      <c r="AL30" s="7" t="n">
        <v>50000</v>
      </c>
      <c r="AM30" s="7" t="n">
        <v>50000</v>
      </c>
      <c r="AN30" s="7" t="n">
        <v>50000</v>
      </c>
      <c r="AO30" s="7" t="n">
        <v>50000</v>
      </c>
      <c r="AP30" s="9" t="n">
        <f aca="false">SUM(F30:M30)</f>
        <v>85776</v>
      </c>
      <c r="AQ30" s="9" t="n">
        <f aca="false">SUM(N30:Y30)</f>
        <v>1400000</v>
      </c>
      <c r="AR30" s="9" t="n">
        <f aca="false">SUM(Z30:AK30)</f>
        <v>1000000</v>
      </c>
      <c r="AS30" s="9" t="n">
        <f aca="false">SUM(AL30:AO30)</f>
        <v>200000</v>
      </c>
      <c r="AT30" s="2" t="s">
        <v>197</v>
      </c>
    </row>
    <row r="31" customFormat="false" ht="15" hidden="false" customHeight="false" outlineLevel="0" collapsed="false">
      <c r="A31" s="2" t="s">
        <v>141</v>
      </c>
      <c r="B31" s="17" t="s">
        <v>179</v>
      </c>
      <c r="C31" s="2" t="s">
        <v>169</v>
      </c>
      <c r="D31" s="2" t="s">
        <v>198</v>
      </c>
      <c r="E31" s="2" t="s">
        <v>112</v>
      </c>
      <c r="F31" s="7" t="n">
        <v>0</v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  <c r="N31" s="7" t="n">
        <v>80000</v>
      </c>
      <c r="O31" s="7" t="n">
        <v>80000</v>
      </c>
      <c r="P31" s="7" t="n">
        <v>80000</v>
      </c>
      <c r="Q31" s="7" t="n">
        <v>80000</v>
      </c>
      <c r="R31" s="7" t="n">
        <v>80000</v>
      </c>
      <c r="S31" s="7" t="n">
        <v>80000</v>
      </c>
      <c r="T31" s="7" t="n">
        <v>80000</v>
      </c>
      <c r="U31" s="7" t="n">
        <v>80000</v>
      </c>
      <c r="V31" s="7" t="n">
        <v>80000</v>
      </c>
      <c r="W31" s="7" t="n">
        <v>80000</v>
      </c>
      <c r="X31" s="7" t="n">
        <v>80000</v>
      </c>
      <c r="Y31" s="7" t="n">
        <v>80000</v>
      </c>
      <c r="Z31" s="7" t="n">
        <v>150000</v>
      </c>
      <c r="AA31" s="7" t="n">
        <v>150000</v>
      </c>
      <c r="AB31" s="7" t="n">
        <v>150000</v>
      </c>
      <c r="AC31" s="7" t="n">
        <v>150000</v>
      </c>
      <c r="AD31" s="7" t="n">
        <v>150000</v>
      </c>
      <c r="AE31" s="7" t="n">
        <v>150000</v>
      </c>
      <c r="AF31" s="7" t="n">
        <v>150000</v>
      </c>
      <c r="AG31" s="7" t="n">
        <v>150000</v>
      </c>
      <c r="AH31" s="7" t="n">
        <v>150000</v>
      </c>
      <c r="AI31" s="7" t="n">
        <v>150000</v>
      </c>
      <c r="AJ31" s="7" t="n">
        <v>150000</v>
      </c>
      <c r="AK31" s="7" t="n">
        <v>150000</v>
      </c>
      <c r="AL31" s="7" t="n">
        <v>150000</v>
      </c>
      <c r="AM31" s="7" t="n">
        <v>150000</v>
      </c>
      <c r="AN31" s="7" t="n">
        <v>150000</v>
      </c>
      <c r="AO31" s="7" t="n">
        <v>150000</v>
      </c>
      <c r="AP31" s="9" t="n">
        <f aca="false">SUM(F31:M31)</f>
        <v>0</v>
      </c>
      <c r="AQ31" s="9" t="n">
        <f aca="false">SUM(N31:Y31)</f>
        <v>960000</v>
      </c>
      <c r="AR31" s="9" t="n">
        <f aca="false">SUM(Z31:AK31)</f>
        <v>1800000</v>
      </c>
      <c r="AS31" s="9" t="n">
        <f aca="false">SUM(AL31:AO31)</f>
        <v>600000</v>
      </c>
      <c r="AT31" s="2" t="s">
        <v>199</v>
      </c>
    </row>
    <row r="33" customFormat="false" ht="15" hidden="false" customHeight="false" outlineLevel="0" collapsed="false">
      <c r="A33" s="18" t="s">
        <v>200</v>
      </c>
      <c r="B33" s="19"/>
      <c r="C33" s="19"/>
      <c r="D33" s="19"/>
      <c r="E33" s="19"/>
      <c r="F33" s="20" t="n">
        <f aca="false">SUM(F5:F10)</f>
        <v>0</v>
      </c>
      <c r="G33" s="20" t="n">
        <f aca="false">SUM(G5:G10)</f>
        <v>3310693</v>
      </c>
      <c r="H33" s="20" t="n">
        <f aca="false">SUM(H5:H10)</f>
        <v>3310693</v>
      </c>
      <c r="I33" s="20" t="n">
        <f aca="false">SUM(I5:I10)</f>
        <v>3310693</v>
      </c>
      <c r="J33" s="20" t="n">
        <f aca="false">SUM(J5:J10)</f>
        <v>5153645</v>
      </c>
      <c r="K33" s="20" t="n">
        <f aca="false">SUM(K5:K10)</f>
        <v>5153645</v>
      </c>
      <c r="L33" s="20" t="n">
        <f aca="false">SUM(L5:L10)</f>
        <v>5153645</v>
      </c>
      <c r="M33" s="20" t="n">
        <f aca="false">SUM(M5:M10)</f>
        <v>5153638</v>
      </c>
      <c r="N33" s="20" t="n">
        <f aca="false">SUM(N5:N10)</f>
        <v>13508400</v>
      </c>
      <c r="O33" s="20" t="n">
        <f aca="false">SUM(O5:O10)</f>
        <v>14108400</v>
      </c>
      <c r="P33" s="20" t="n">
        <f aca="false">SUM(P5:P10)</f>
        <v>13508400</v>
      </c>
      <c r="Q33" s="20" t="n">
        <f aca="false">SUM(Q5:Q10)</f>
        <v>23695333</v>
      </c>
      <c r="R33" s="20" t="n">
        <f aca="false">SUM(R5:R10)</f>
        <v>23695333</v>
      </c>
      <c r="S33" s="20" t="n">
        <f aca="false">SUM(S5:S10)</f>
        <v>23695333</v>
      </c>
      <c r="T33" s="20" t="n">
        <f aca="false">SUM(T5:T10)</f>
        <v>28670667</v>
      </c>
      <c r="U33" s="20" t="n">
        <f aca="false">SUM(U5:U10)</f>
        <v>28670667</v>
      </c>
      <c r="V33" s="20" t="n">
        <f aca="false">SUM(V5:V10)</f>
        <v>29870667</v>
      </c>
      <c r="W33" s="20" t="n">
        <f aca="false">SUM(W5:W10)</f>
        <v>28670667</v>
      </c>
      <c r="X33" s="20" t="n">
        <f aca="false">SUM(X5:X10)</f>
        <v>28670667</v>
      </c>
      <c r="Y33" s="20" t="n">
        <f aca="false">SUM(Y5:Y10)</f>
        <v>28670667</v>
      </c>
      <c r="Z33" s="20" t="n">
        <f aca="false">SUM(Z5:Z10)</f>
        <v>30029200</v>
      </c>
      <c r="AA33" s="20" t="n">
        <f aca="false">SUM(AA5:AA10)</f>
        <v>31229200</v>
      </c>
      <c r="AB33" s="20" t="n">
        <f aca="false">SUM(AB5:AB10)</f>
        <v>34744640</v>
      </c>
      <c r="AC33" s="20" t="n">
        <f aca="false">SUM(AC5:AC10)</f>
        <v>34744640</v>
      </c>
      <c r="AD33" s="20" t="n">
        <f aca="false">SUM(AD5:AD10)</f>
        <v>34744640</v>
      </c>
      <c r="AE33" s="20" t="n">
        <f aca="false">SUM(AE5:AE10)</f>
        <v>38963920</v>
      </c>
      <c r="AF33" s="20" t="n">
        <f aca="false">SUM(AF5:AF10)</f>
        <v>38963920</v>
      </c>
      <c r="AG33" s="20" t="n">
        <f aca="false">SUM(AG5:AG10)</f>
        <v>38963920</v>
      </c>
      <c r="AH33" s="20" t="n">
        <f aca="false">SUM(AH5:AH10)</f>
        <v>47215920</v>
      </c>
      <c r="AI33" s="20" t="n">
        <f aca="false">SUM(AI5:AI10)</f>
        <v>45415920</v>
      </c>
      <c r="AJ33" s="20" t="n">
        <f aca="false">SUM(AJ5:AJ10)</f>
        <v>45415920</v>
      </c>
      <c r="AK33" s="20" t="n">
        <f aca="false">SUM(AK5:AK10)</f>
        <v>45415920</v>
      </c>
      <c r="AL33" s="20" t="n">
        <f aca="false">SUM(AL5:AL10)</f>
        <v>47574216</v>
      </c>
      <c r="AM33" s="20" t="n">
        <f aca="false">SUM(AM5:AM10)</f>
        <v>49374216</v>
      </c>
      <c r="AN33" s="20" t="n">
        <f aca="false">SUM(AN5:AN10)</f>
        <v>47574216</v>
      </c>
      <c r="AO33" s="20" t="n">
        <f aca="false">SUM(AO5:AO10)</f>
        <v>47574216</v>
      </c>
      <c r="AP33" s="20" t="n">
        <f aca="false">SUM(AP5:AP10)</f>
        <v>30546652</v>
      </c>
      <c r="AQ33" s="20" t="n">
        <f aca="false">SUM(AQ5:AQ10)</f>
        <v>285435201</v>
      </c>
      <c r="AR33" s="20" t="n">
        <f aca="false">SUM(AR5:AR10)</f>
        <v>465847760</v>
      </c>
      <c r="AS33" s="20" t="n">
        <f aca="false">SUM(AS5:AS10)</f>
        <v>192096864</v>
      </c>
    </row>
    <row r="34" customFormat="false" ht="15" hidden="false" customHeight="false" outlineLevel="0" collapsed="false">
      <c r="A34" s="18" t="s">
        <v>201</v>
      </c>
      <c r="B34" s="19"/>
      <c r="C34" s="19"/>
      <c r="D34" s="19"/>
      <c r="E34" s="19"/>
      <c r="F34" s="20" t="n">
        <f aca="false">SUM(F11:F12)</f>
        <v>0</v>
      </c>
      <c r="G34" s="20" t="n">
        <f aca="false">SUM(G11:G12)</f>
        <v>0</v>
      </c>
      <c r="H34" s="20" t="n">
        <f aca="false">SUM(H11:H12)</f>
        <v>0</v>
      </c>
      <c r="I34" s="20" t="n">
        <f aca="false">SUM(I11:I12)</f>
        <v>0</v>
      </c>
      <c r="J34" s="20" t="n">
        <f aca="false">SUM(J11:J12)</f>
        <v>0</v>
      </c>
      <c r="K34" s="20" t="n">
        <f aca="false">SUM(K11:K12)</f>
        <v>0</v>
      </c>
      <c r="L34" s="20" t="n">
        <f aca="false">SUM(L11:L12)</f>
        <v>0</v>
      </c>
      <c r="M34" s="20" t="n">
        <f aca="false">SUM(M11:M12)</f>
        <v>0</v>
      </c>
      <c r="N34" s="20" t="n">
        <f aca="false">SUM(N11:N12)</f>
        <v>0</v>
      </c>
      <c r="O34" s="20" t="n">
        <f aca="false">SUM(O11:O12)</f>
        <v>83333</v>
      </c>
      <c r="P34" s="20" t="n">
        <f aca="false">SUM(P11:P12)</f>
        <v>108333</v>
      </c>
      <c r="Q34" s="20" t="n">
        <f aca="false">SUM(Q11:Q12)</f>
        <v>108333</v>
      </c>
      <c r="R34" s="20" t="n">
        <f aca="false">SUM(R11:R12)</f>
        <v>181667</v>
      </c>
      <c r="S34" s="20" t="n">
        <f aca="false">SUM(S11:S12)</f>
        <v>181667</v>
      </c>
      <c r="T34" s="20" t="n">
        <f aca="false">SUM(T11:T12)</f>
        <v>181667</v>
      </c>
      <c r="U34" s="20" t="n">
        <f aca="false">SUM(U11:U12)</f>
        <v>218333</v>
      </c>
      <c r="V34" s="20" t="n">
        <f aca="false">SUM(V11:V12)</f>
        <v>218333</v>
      </c>
      <c r="W34" s="20" t="n">
        <f aca="false">SUM(W11:W12)</f>
        <v>218333</v>
      </c>
      <c r="X34" s="20" t="n">
        <f aca="false">SUM(X11:X12)</f>
        <v>218333</v>
      </c>
      <c r="Y34" s="20" t="n">
        <f aca="false">SUM(Y11:Y12)</f>
        <v>218333</v>
      </c>
      <c r="Z34" s="20" t="n">
        <f aca="false">SUM(Z11:Z12)</f>
        <v>368333</v>
      </c>
      <c r="AA34" s="20" t="n">
        <f aca="false">SUM(AA11:AA12)</f>
        <v>368333</v>
      </c>
      <c r="AB34" s="20" t="n">
        <f aca="false">SUM(AB11:AB12)</f>
        <v>368333</v>
      </c>
      <c r="AC34" s="20" t="n">
        <f aca="false">SUM(AC11:AC12)</f>
        <v>405000</v>
      </c>
      <c r="AD34" s="20" t="n">
        <f aca="false">SUM(AD11:AD12)</f>
        <v>405000</v>
      </c>
      <c r="AE34" s="20" t="n">
        <f aca="false">SUM(AE11:AE12)</f>
        <v>438333</v>
      </c>
      <c r="AF34" s="20" t="n">
        <f aca="false">SUM(AF11:AF12)</f>
        <v>438333</v>
      </c>
      <c r="AG34" s="20" t="n">
        <f aca="false">SUM(AG11:AG12)</f>
        <v>438333</v>
      </c>
      <c r="AH34" s="20" t="n">
        <f aca="false">SUM(AH11:AH12)</f>
        <v>438333</v>
      </c>
      <c r="AI34" s="20" t="n">
        <f aca="false">SUM(AI11:AI12)</f>
        <v>478333</v>
      </c>
      <c r="AJ34" s="20" t="n">
        <f aca="false">SUM(AJ11:AJ12)</f>
        <v>478333</v>
      </c>
      <c r="AK34" s="20" t="n">
        <f aca="false">SUM(AK11:AK12)</f>
        <v>478333</v>
      </c>
      <c r="AL34" s="20" t="n">
        <f aca="false">SUM(AL11:AL12)</f>
        <v>478333</v>
      </c>
      <c r="AM34" s="20" t="n">
        <f aca="false">SUM(AM11:AM12)</f>
        <v>478333</v>
      </c>
      <c r="AN34" s="20" t="n">
        <f aca="false">SUM(AN11:AN12)</f>
        <v>478333</v>
      </c>
      <c r="AO34" s="20" t="n">
        <f aca="false">SUM(AO11:AO12)</f>
        <v>478333</v>
      </c>
      <c r="AP34" s="20" t="n">
        <f aca="false">SUM(AP11:AP12)</f>
        <v>0</v>
      </c>
      <c r="AQ34" s="20" t="n">
        <f aca="false">SUM(AQ11:AQ12)</f>
        <v>1936665</v>
      </c>
      <c r="AR34" s="20" t="n">
        <f aca="false">SUM(AR11:AR12)</f>
        <v>5103330</v>
      </c>
      <c r="AS34" s="20" t="n">
        <f aca="false">SUM(AS11:AS12)</f>
        <v>1913332</v>
      </c>
    </row>
    <row r="35" customFormat="false" ht="15" hidden="false" customHeight="false" outlineLevel="0" collapsed="false">
      <c r="A35" s="18" t="s">
        <v>202</v>
      </c>
      <c r="B35" s="19"/>
      <c r="C35" s="19"/>
      <c r="D35" s="19"/>
      <c r="E35" s="19"/>
      <c r="F35" s="20" t="n">
        <f aca="false">SUM(F13:F15)</f>
        <v>6883054</v>
      </c>
      <c r="G35" s="20" t="n">
        <f aca="false">SUM(G13:G15)</f>
        <v>7183054</v>
      </c>
      <c r="H35" s="20" t="n">
        <f aca="false">SUM(H13:H15)</f>
        <v>7183054</v>
      </c>
      <c r="I35" s="20" t="n">
        <f aca="false">SUM(I13:I15)</f>
        <v>4888702</v>
      </c>
      <c r="J35" s="20" t="n">
        <f aca="false">SUM(J13:J15)</f>
        <v>2494351</v>
      </c>
      <c r="K35" s="20" t="n">
        <f aca="false">SUM(K13:K15)</f>
        <v>1347176</v>
      </c>
      <c r="L35" s="20" t="n">
        <f aca="false">SUM(L13:L15)</f>
        <v>1347176</v>
      </c>
      <c r="M35" s="20" t="n">
        <f aca="false">SUM(M13:M15)</f>
        <v>1347174</v>
      </c>
      <c r="N35" s="20" t="n">
        <f aca="false">SUM(N13:N15)</f>
        <v>3350000</v>
      </c>
      <c r="O35" s="20" t="n">
        <f aca="false">SUM(O13:O15)</f>
        <v>3350000</v>
      </c>
      <c r="P35" s="20" t="n">
        <f aca="false">SUM(P13:P15)</f>
        <v>3850000</v>
      </c>
      <c r="Q35" s="20" t="n">
        <f aca="false">SUM(Q13:Q15)</f>
        <v>2850000</v>
      </c>
      <c r="R35" s="20" t="n">
        <f aca="false">SUM(R13:R15)</f>
        <v>2850000</v>
      </c>
      <c r="S35" s="20" t="n">
        <f aca="false">SUM(S13:S15)</f>
        <v>2850000</v>
      </c>
      <c r="T35" s="20" t="n">
        <f aca="false">SUM(T13:T15)</f>
        <v>2850000</v>
      </c>
      <c r="U35" s="20" t="n">
        <f aca="false">SUM(U13:U15)</f>
        <v>2850000</v>
      </c>
      <c r="V35" s="20" t="n">
        <f aca="false">SUM(V13:V15)</f>
        <v>2850000</v>
      </c>
      <c r="W35" s="20" t="n">
        <f aca="false">SUM(W13:W15)</f>
        <v>2850000</v>
      </c>
      <c r="X35" s="20" t="n">
        <f aca="false">SUM(X13:X15)</f>
        <v>4850000</v>
      </c>
      <c r="Y35" s="20" t="n">
        <f aca="false">SUM(Y13:Y15)</f>
        <v>4850000</v>
      </c>
      <c r="Z35" s="20" t="n">
        <f aca="false">SUM(Z13:Z15)</f>
        <v>5300000</v>
      </c>
      <c r="AA35" s="20" t="n">
        <f aca="false">SUM(AA13:AA15)</f>
        <v>5300000</v>
      </c>
      <c r="AB35" s="20" t="n">
        <f aca="false">SUM(AB13:AB15)</f>
        <v>5300000</v>
      </c>
      <c r="AC35" s="20" t="n">
        <f aca="false">SUM(AC13:AC15)</f>
        <v>5300000</v>
      </c>
      <c r="AD35" s="20" t="n">
        <f aca="false">SUM(AD13:AD15)</f>
        <v>5300000</v>
      </c>
      <c r="AE35" s="20" t="n">
        <f aca="false">SUM(AE13:AE15)</f>
        <v>5300000</v>
      </c>
      <c r="AF35" s="20" t="n">
        <f aca="false">SUM(AF13:AF15)</f>
        <v>5300000</v>
      </c>
      <c r="AG35" s="20" t="n">
        <f aca="false">SUM(AG13:AG15)</f>
        <v>5300000</v>
      </c>
      <c r="AH35" s="20" t="n">
        <f aca="false">SUM(AH13:AH15)</f>
        <v>5300000</v>
      </c>
      <c r="AI35" s="20" t="n">
        <f aca="false">SUM(AI13:AI15)</f>
        <v>5300000</v>
      </c>
      <c r="AJ35" s="20" t="n">
        <f aca="false">SUM(AJ13:AJ15)</f>
        <v>5300000</v>
      </c>
      <c r="AK35" s="20" t="n">
        <f aca="false">SUM(AK13:AK15)</f>
        <v>5300000</v>
      </c>
      <c r="AL35" s="20" t="n">
        <f aca="false">SUM(AL13:AL15)</f>
        <v>5300000</v>
      </c>
      <c r="AM35" s="20" t="n">
        <f aca="false">SUM(AM13:AM15)</f>
        <v>5300000</v>
      </c>
      <c r="AN35" s="20" t="n">
        <f aca="false">SUM(AN13:AN15)</f>
        <v>5300000</v>
      </c>
      <c r="AO35" s="20" t="n">
        <f aca="false">SUM(AO13:AO15)</f>
        <v>5300000</v>
      </c>
      <c r="AP35" s="20" t="n">
        <f aca="false">SUM(AP13:AP15)</f>
        <v>32673741</v>
      </c>
      <c r="AQ35" s="20" t="n">
        <f aca="false">SUM(AQ13:AQ15)</f>
        <v>40200000</v>
      </c>
      <c r="AR35" s="20" t="n">
        <f aca="false">SUM(AR13:AR15)</f>
        <v>63600000</v>
      </c>
      <c r="AS35" s="20" t="n">
        <f aca="false">SUM(AS13:AS15)</f>
        <v>21200000</v>
      </c>
    </row>
    <row r="36" customFormat="false" ht="15" hidden="false" customHeight="false" outlineLevel="0" collapsed="false">
      <c r="A36" s="18" t="s">
        <v>203</v>
      </c>
      <c r="B36" s="19"/>
      <c r="C36" s="19"/>
      <c r="D36" s="19"/>
      <c r="E36" s="19"/>
      <c r="F36" s="20" t="n">
        <f aca="false">SUM(F16:F19)</f>
        <v>0</v>
      </c>
      <c r="G36" s="20" t="n">
        <f aca="false">SUM(G16:G19)</f>
        <v>300000</v>
      </c>
      <c r="H36" s="20" t="n">
        <f aca="false">SUM(H16:H19)</f>
        <v>300000</v>
      </c>
      <c r="I36" s="20" t="n">
        <f aca="false">SUM(I16:I19)</f>
        <v>600000</v>
      </c>
      <c r="J36" s="20" t="n">
        <f aca="false">SUM(J16:J19)</f>
        <v>1400000</v>
      </c>
      <c r="K36" s="20" t="n">
        <f aca="false">SUM(K16:K19)</f>
        <v>2100000</v>
      </c>
      <c r="L36" s="20" t="n">
        <f aca="false">SUM(L16:L19)</f>
        <v>1200000</v>
      </c>
      <c r="M36" s="20" t="n">
        <f aca="false">SUM(M16:M19)</f>
        <v>1100000</v>
      </c>
      <c r="N36" s="20" t="n">
        <f aca="false">SUM(N16:N19)</f>
        <v>1820000</v>
      </c>
      <c r="O36" s="20" t="n">
        <f aca="false">SUM(O16:O19)</f>
        <v>4500000</v>
      </c>
      <c r="P36" s="20" t="n">
        <f aca="false">SUM(P16:P19)</f>
        <v>5006000</v>
      </c>
      <c r="Q36" s="20" t="n">
        <f aca="false">SUM(Q16:Q19)</f>
        <v>3360960</v>
      </c>
      <c r="R36" s="20" t="n">
        <f aca="false">SUM(R16:R19)</f>
        <v>3055606</v>
      </c>
      <c r="S36" s="20" t="n">
        <f aca="false">SUM(S16:S19)</f>
        <v>2996355</v>
      </c>
      <c r="T36" s="20" t="n">
        <f aca="false">SUM(T16:T19)</f>
        <v>3398870</v>
      </c>
      <c r="U36" s="20" t="n">
        <f aca="false">SUM(U16:U19)</f>
        <v>5839836</v>
      </c>
      <c r="V36" s="20" t="n">
        <f aca="false">SUM(V16:V19)</f>
        <v>6963877</v>
      </c>
      <c r="W36" s="20" t="n">
        <f aca="false">SUM(W16:W19)</f>
        <v>4943571</v>
      </c>
      <c r="X36" s="20" t="n">
        <f aca="false">SUM(X16:X19)</f>
        <v>4305458</v>
      </c>
      <c r="Y36" s="20" t="n">
        <f aca="false">SUM(Y16:Y19)</f>
        <v>3846425</v>
      </c>
      <c r="Z36" s="20" t="n">
        <f aca="false">SUM(Z16:Z19)</f>
        <v>5904110</v>
      </c>
      <c r="AA36" s="20" t="n">
        <f aca="false">SUM(AA16:AA19)</f>
        <v>8499935</v>
      </c>
      <c r="AB36" s="20" t="n">
        <f aca="false">SUM(AB16:AB19)</f>
        <v>11158606</v>
      </c>
      <c r="AC36" s="20" t="n">
        <f aca="false">SUM(AC16:AC19)</f>
        <v>7849826</v>
      </c>
      <c r="AD36" s="20" t="n">
        <f aca="false">SUM(AD16:AD19)</f>
        <v>6474902</v>
      </c>
      <c r="AE36" s="20" t="n">
        <f aca="false">SUM(AE16:AE19)</f>
        <v>6060684</v>
      </c>
      <c r="AF36" s="20" t="n">
        <f aca="false">SUM(AF16:AF19)</f>
        <v>6768045</v>
      </c>
      <c r="AG36" s="20" t="n">
        <f aca="false">SUM(AG16:AG19)</f>
        <v>10187743</v>
      </c>
      <c r="AH36" s="20" t="n">
        <f aca="false">SUM(AH16:AH19)</f>
        <v>13225228</v>
      </c>
      <c r="AI36" s="20" t="n">
        <f aca="false">SUM(AI16:AI19)</f>
        <v>9154827</v>
      </c>
      <c r="AJ36" s="20" t="n">
        <f aca="false">SUM(AJ16:AJ19)</f>
        <v>7468849</v>
      </c>
      <c r="AK36" s="20" t="n">
        <f aca="false">SUM(AK16:AK19)</f>
        <v>6342547</v>
      </c>
      <c r="AL36" s="20" t="n">
        <f aca="false">SUM(AL16:AL19)</f>
        <v>8489191</v>
      </c>
      <c r="AM36" s="20" t="n">
        <f aca="false">SUM(AM16:AM19)</f>
        <v>11629828</v>
      </c>
      <c r="AN36" s="20" t="n">
        <f aca="false">SUM(AN16:AN19)</f>
        <v>15092971</v>
      </c>
      <c r="AO36" s="20" t="n">
        <f aca="false">SUM(AO16:AO19)</f>
        <v>11259097</v>
      </c>
      <c r="AP36" s="20" t="n">
        <f aca="false">SUM(AP16:AP19)</f>
        <v>7000000</v>
      </c>
      <c r="AQ36" s="20" t="n">
        <f aca="false">SUM(AQ16:AQ19)</f>
        <v>50036958</v>
      </c>
      <c r="AR36" s="20" t="n">
        <f aca="false">SUM(AR16:AR19)</f>
        <v>99095302</v>
      </c>
      <c r="AS36" s="20" t="n">
        <f aca="false">SUM(AS16:AS19)</f>
        <v>46471087</v>
      </c>
    </row>
    <row r="37" customFormat="false" ht="15" hidden="false" customHeight="false" outlineLevel="0" collapsed="false">
      <c r="A37" s="18" t="s">
        <v>204</v>
      </c>
      <c r="B37" s="19"/>
      <c r="C37" s="19"/>
      <c r="D37" s="19"/>
      <c r="E37" s="19"/>
      <c r="F37" s="20" t="n">
        <f aca="false">SUM(F20:F31)</f>
        <v>1660495</v>
      </c>
      <c r="G37" s="20" t="n">
        <f aca="false">SUM(G20:G31)</f>
        <v>476613</v>
      </c>
      <c r="H37" s="20" t="n">
        <f aca="false">SUM(H20:H31)</f>
        <v>476613</v>
      </c>
      <c r="I37" s="20" t="n">
        <f aca="false">SUM(I20:I31)</f>
        <v>476257</v>
      </c>
      <c r="J37" s="20" t="n">
        <f aca="false">SUM(J20:J31)</f>
        <v>568553</v>
      </c>
      <c r="K37" s="20" t="n">
        <f aca="false">SUM(K20:K31)</f>
        <v>669257</v>
      </c>
      <c r="L37" s="20" t="n">
        <f aca="false">SUM(L20:L31)</f>
        <v>697492</v>
      </c>
      <c r="M37" s="20" t="n">
        <f aca="false">SUM(M20:M31)</f>
        <v>656573</v>
      </c>
      <c r="N37" s="20" t="n">
        <f aca="false">SUM(N20:N31)</f>
        <v>1544000</v>
      </c>
      <c r="O37" s="20" t="n">
        <f aca="false">SUM(O20:O31)</f>
        <v>1344000</v>
      </c>
      <c r="P37" s="20" t="n">
        <f aca="false">SUM(P20:P31)</f>
        <v>2844000</v>
      </c>
      <c r="Q37" s="20" t="n">
        <f aca="false">SUM(Q20:Q31)</f>
        <v>5390000</v>
      </c>
      <c r="R37" s="20" t="n">
        <f aca="false">SUM(R20:R31)</f>
        <v>1390000</v>
      </c>
      <c r="S37" s="20" t="n">
        <f aca="false">SUM(S20:S31)</f>
        <v>1390000</v>
      </c>
      <c r="T37" s="20" t="n">
        <f aca="false">SUM(T20:T31)</f>
        <v>1590000</v>
      </c>
      <c r="U37" s="20" t="n">
        <f aca="false">SUM(U20:U31)</f>
        <v>1640000</v>
      </c>
      <c r="V37" s="20" t="n">
        <f aca="false">SUM(V20:V31)</f>
        <v>1390000</v>
      </c>
      <c r="W37" s="20" t="n">
        <f aca="false">SUM(W20:W31)</f>
        <v>1690000</v>
      </c>
      <c r="X37" s="20" t="n">
        <f aca="false">SUM(X20:X31)</f>
        <v>1390000</v>
      </c>
      <c r="Y37" s="20" t="n">
        <f aca="false">SUM(Y20:Y31)</f>
        <v>1590000</v>
      </c>
      <c r="Z37" s="20" t="n">
        <f aca="false">SUM(Z20:Z31)</f>
        <v>4989000</v>
      </c>
      <c r="AA37" s="20" t="n">
        <f aca="false">SUM(AA20:AA31)</f>
        <v>4989000</v>
      </c>
      <c r="AB37" s="20" t="n">
        <f aca="false">SUM(AB20:AB31)</f>
        <v>7212000</v>
      </c>
      <c r="AC37" s="20" t="n">
        <f aca="false">SUM(AC20:AC31)</f>
        <v>5312000</v>
      </c>
      <c r="AD37" s="20" t="n">
        <f aca="false">SUM(AD20:AD31)</f>
        <v>5012000</v>
      </c>
      <c r="AE37" s="20" t="n">
        <f aca="false">SUM(AE20:AE31)</f>
        <v>5035000</v>
      </c>
      <c r="AF37" s="20" t="n">
        <f aca="false">SUM(AF20:AF31)</f>
        <v>5035000</v>
      </c>
      <c r="AG37" s="20" t="n">
        <f aca="false">SUM(AG20:AG31)</f>
        <v>5285000</v>
      </c>
      <c r="AH37" s="20" t="n">
        <f aca="false">SUM(AH20:AH31)</f>
        <v>5258000</v>
      </c>
      <c r="AI37" s="20" t="n">
        <f aca="false">SUM(AI20:AI31)</f>
        <v>5358000</v>
      </c>
      <c r="AJ37" s="20" t="n">
        <f aca="false">SUM(AJ20:AJ31)</f>
        <v>5058000</v>
      </c>
      <c r="AK37" s="20" t="n">
        <f aca="false">SUM(AK20:AK31)</f>
        <v>5058000</v>
      </c>
      <c r="AL37" s="20" t="n">
        <f aca="false">SUM(AL20:AL31)</f>
        <v>5058000</v>
      </c>
      <c r="AM37" s="20" t="n">
        <f aca="false">SUM(AM20:AM31)</f>
        <v>5058000</v>
      </c>
      <c r="AN37" s="20" t="n">
        <f aca="false">SUM(AN20:AN31)</f>
        <v>7558000</v>
      </c>
      <c r="AO37" s="20" t="n">
        <f aca="false">SUM(AO20:AO31)</f>
        <v>5358000</v>
      </c>
      <c r="AP37" s="20" t="n">
        <f aca="false">SUM(AP20:AP31)</f>
        <v>5681853</v>
      </c>
      <c r="AQ37" s="20" t="n">
        <f aca="false">SUM(AQ20:AQ31)</f>
        <v>23192000</v>
      </c>
      <c r="AR37" s="20" t="n">
        <f aca="false">SUM(AR20:AR31)</f>
        <v>63601000</v>
      </c>
      <c r="AS37" s="20" t="n">
        <f aca="false">SUM(AS20:AS31)</f>
        <v>23032000</v>
      </c>
    </row>
    <row r="38" customFormat="false" ht="15" hidden="false" customHeight="false" outlineLevel="0" collapsed="false">
      <c r="A38" s="21" t="s">
        <v>205</v>
      </c>
      <c r="B38" s="22"/>
      <c r="C38" s="22"/>
      <c r="D38" s="22"/>
      <c r="E38" s="22"/>
      <c r="F38" s="23" t="n">
        <f aca="false">SUM(F5:F31)</f>
        <v>8543549</v>
      </c>
      <c r="G38" s="23" t="n">
        <f aca="false">SUM(G5:G31)</f>
        <v>11270360</v>
      </c>
      <c r="H38" s="23" t="n">
        <f aca="false">SUM(H5:H31)</f>
        <v>11270360</v>
      </c>
      <c r="I38" s="23" t="n">
        <f aca="false">SUM(I5:I31)</f>
        <v>9275652</v>
      </c>
      <c r="J38" s="23" t="n">
        <f aca="false">SUM(J5:J31)</f>
        <v>9616549</v>
      </c>
      <c r="K38" s="23" t="n">
        <f aca="false">SUM(K5:K31)</f>
        <v>9270078</v>
      </c>
      <c r="L38" s="23" t="n">
        <f aca="false">SUM(L5:L31)</f>
        <v>8398313</v>
      </c>
      <c r="M38" s="23" t="n">
        <f aca="false">SUM(M5:M31)</f>
        <v>8257385</v>
      </c>
      <c r="N38" s="23" t="n">
        <f aca="false">SUM(N5:N31)</f>
        <v>20222400</v>
      </c>
      <c r="O38" s="23" t="n">
        <f aca="false">SUM(O5:O31)</f>
        <v>23385733</v>
      </c>
      <c r="P38" s="23" t="n">
        <f aca="false">SUM(P5:P31)</f>
        <v>25316733</v>
      </c>
      <c r="Q38" s="23" t="n">
        <f aca="false">SUM(Q5:Q31)</f>
        <v>35404626</v>
      </c>
      <c r="R38" s="23" t="n">
        <f aca="false">SUM(R5:R31)</f>
        <v>31172606</v>
      </c>
      <c r="S38" s="23" t="n">
        <f aca="false">SUM(S5:S31)</f>
        <v>31113355</v>
      </c>
      <c r="T38" s="23" t="n">
        <f aca="false">SUM(T5:T31)</f>
        <v>36691204</v>
      </c>
      <c r="U38" s="23" t="n">
        <f aca="false">SUM(U5:U31)</f>
        <v>39218836</v>
      </c>
      <c r="V38" s="23" t="n">
        <f aca="false">SUM(V5:V31)</f>
        <v>41292877</v>
      </c>
      <c r="W38" s="23" t="n">
        <f aca="false">SUM(W5:W31)</f>
        <v>38372571</v>
      </c>
      <c r="X38" s="23" t="n">
        <f aca="false">SUM(X5:X31)</f>
        <v>39434458</v>
      </c>
      <c r="Y38" s="23" t="n">
        <f aca="false">SUM(Y5:Y31)</f>
        <v>39175425</v>
      </c>
      <c r="Z38" s="23" t="n">
        <f aca="false">SUM(Z5:Z31)</f>
        <v>46590643</v>
      </c>
      <c r="AA38" s="23" t="n">
        <f aca="false">SUM(AA5:AA31)</f>
        <v>50386468</v>
      </c>
      <c r="AB38" s="23" t="n">
        <f aca="false">SUM(AB5:AB31)</f>
        <v>58783579</v>
      </c>
      <c r="AC38" s="23" t="n">
        <f aca="false">SUM(AC5:AC31)</f>
        <v>53611466</v>
      </c>
      <c r="AD38" s="23" t="n">
        <f aca="false">SUM(AD5:AD31)</f>
        <v>51936542</v>
      </c>
      <c r="AE38" s="23" t="n">
        <f aca="false">SUM(AE5:AE31)</f>
        <v>55797937</v>
      </c>
      <c r="AF38" s="23" t="n">
        <f aca="false">SUM(AF5:AF31)</f>
        <v>56505298</v>
      </c>
      <c r="AG38" s="23" t="n">
        <f aca="false">SUM(AG5:AG31)</f>
        <v>60174996</v>
      </c>
      <c r="AH38" s="23" t="n">
        <f aca="false">SUM(AH5:AH31)</f>
        <v>71437481</v>
      </c>
      <c r="AI38" s="23" t="n">
        <f aca="false">SUM(AI5:AI31)</f>
        <v>65707080</v>
      </c>
      <c r="AJ38" s="23" t="n">
        <f aca="false">SUM(AJ5:AJ31)</f>
        <v>63721102</v>
      </c>
      <c r="AK38" s="23" t="n">
        <f aca="false">SUM(AK5:AK31)</f>
        <v>62594800</v>
      </c>
      <c r="AL38" s="23" t="n">
        <f aca="false">SUM(AL5:AL31)</f>
        <v>66899740</v>
      </c>
      <c r="AM38" s="23" t="n">
        <f aca="false">SUM(AM5:AM31)</f>
        <v>71840377</v>
      </c>
      <c r="AN38" s="23" t="n">
        <f aca="false">SUM(AN5:AN31)</f>
        <v>76003520</v>
      </c>
      <c r="AO38" s="23" t="n">
        <f aca="false">SUM(AO5:AO31)</f>
        <v>69969646</v>
      </c>
      <c r="AP38" s="23" t="n">
        <f aca="false">SUM(AP5:AP31)</f>
        <v>75902246</v>
      </c>
      <c r="AQ38" s="23" t="n">
        <f aca="false">SUM(AQ5:AQ31)</f>
        <v>400800824</v>
      </c>
      <c r="AR38" s="23" t="n">
        <f aca="false">SUM(AR5:AR31)</f>
        <v>697247392</v>
      </c>
      <c r="AS38" s="23" t="n">
        <f aca="false">SUM(AS5:AS31)</f>
        <v>284713283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T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4"/>
    <col collapsed="false" customWidth="true" hidden="false" outlineLevel="0" max="3" min="3" style="0" width="30"/>
    <col collapsed="false" customWidth="true" hidden="false" outlineLevel="0" max="4" min="4" style="0" width="40"/>
    <col collapsed="false" customWidth="true" hidden="false" outlineLevel="0" max="5" min="5" style="0" width="26"/>
    <col collapsed="false" customWidth="true" hidden="false" outlineLevel="0" max="41" min="6" style="0" width="13"/>
    <col collapsed="false" customWidth="true" hidden="false" outlineLevel="0" max="45" min="42" style="0" width="16"/>
    <col collapsed="false" customWidth="true" hidden="false" outlineLevel="0" max="46" min="46" style="0" width="40"/>
  </cols>
  <sheetData>
    <row r="1" customFormat="false" ht="17.15" hidden="false" customHeight="false" outlineLevel="0" collapsed="false">
      <c r="A1" s="1" t="s">
        <v>206</v>
      </c>
    </row>
    <row r="2" customFormat="false" ht="15" hidden="false" customHeight="false" outlineLevel="0" collapsed="false">
      <c r="A2" s="10" t="s">
        <v>207</v>
      </c>
    </row>
    <row r="3" customFormat="false" ht="30" hidden="false" customHeight="true" outlineLevel="0" collapsed="false">
      <c r="A3" s="11" t="s">
        <v>10</v>
      </c>
      <c r="B3" s="11" t="s">
        <v>208</v>
      </c>
      <c r="C3" s="11"/>
      <c r="D3" s="11"/>
      <c r="E3" s="11"/>
      <c r="F3" s="12" t="s">
        <v>31</v>
      </c>
      <c r="G3" s="12" t="s">
        <v>32</v>
      </c>
      <c r="H3" s="12" t="s">
        <v>33</v>
      </c>
      <c r="I3" s="12" t="s">
        <v>34</v>
      </c>
      <c r="J3" s="12" t="s">
        <v>35</v>
      </c>
      <c r="K3" s="12" t="s">
        <v>36</v>
      </c>
      <c r="L3" s="12" t="s">
        <v>37</v>
      </c>
      <c r="M3" s="12" t="s">
        <v>38</v>
      </c>
      <c r="N3" s="12" t="s">
        <v>39</v>
      </c>
      <c r="O3" s="12" t="s">
        <v>40</v>
      </c>
      <c r="P3" s="12" t="s">
        <v>41</v>
      </c>
      <c r="Q3" s="12" t="s">
        <v>42</v>
      </c>
      <c r="R3" s="12" t="s">
        <v>43</v>
      </c>
      <c r="S3" s="12" t="s">
        <v>44</v>
      </c>
      <c r="T3" s="12" t="s">
        <v>45</v>
      </c>
      <c r="U3" s="12" t="s">
        <v>46</v>
      </c>
      <c r="V3" s="12" t="s">
        <v>47</v>
      </c>
      <c r="W3" s="12" t="s">
        <v>48</v>
      </c>
      <c r="X3" s="12" t="s">
        <v>49</v>
      </c>
      <c r="Y3" s="12" t="s">
        <v>50</v>
      </c>
      <c r="Z3" s="12" t="s">
        <v>51</v>
      </c>
      <c r="AA3" s="12" t="s">
        <v>52</v>
      </c>
      <c r="AB3" s="12" t="s">
        <v>53</v>
      </c>
      <c r="AC3" s="12" t="s">
        <v>54</v>
      </c>
      <c r="AD3" s="12" t="s">
        <v>55</v>
      </c>
      <c r="AE3" s="12" t="s">
        <v>56</v>
      </c>
      <c r="AF3" s="12" t="s">
        <v>57</v>
      </c>
      <c r="AG3" s="12" t="s">
        <v>58</v>
      </c>
      <c r="AH3" s="12" t="s">
        <v>59</v>
      </c>
      <c r="AI3" s="12" t="s">
        <v>60</v>
      </c>
      <c r="AJ3" s="12" t="s">
        <v>61</v>
      </c>
      <c r="AK3" s="12" t="s">
        <v>62</v>
      </c>
      <c r="AL3" s="12" t="s">
        <v>63</v>
      </c>
      <c r="AM3" s="12" t="s">
        <v>64</v>
      </c>
      <c r="AN3" s="12" t="s">
        <v>65</v>
      </c>
      <c r="AO3" s="12" t="s">
        <v>66</v>
      </c>
      <c r="AP3" s="12" t="s">
        <v>67</v>
      </c>
      <c r="AQ3" s="12" t="s">
        <v>68</v>
      </c>
      <c r="AR3" s="12" t="s">
        <v>69</v>
      </c>
      <c r="AS3" s="12" t="s">
        <v>70</v>
      </c>
      <c r="AT3" s="11" t="s">
        <v>209</v>
      </c>
    </row>
    <row r="4" customFormat="false" ht="15" hidden="false" customHeight="false" outlineLevel="0" collapsed="false">
      <c r="A4" s="10" t="s">
        <v>72</v>
      </c>
      <c r="F4" s="13" t="s">
        <v>73</v>
      </c>
      <c r="G4" s="13" t="s">
        <v>73</v>
      </c>
      <c r="H4" s="13" t="s">
        <v>73</v>
      </c>
      <c r="I4" s="13" t="s">
        <v>73</v>
      </c>
      <c r="J4" s="13" t="s">
        <v>73</v>
      </c>
      <c r="K4" s="13" t="s">
        <v>73</v>
      </c>
      <c r="L4" s="13" t="s">
        <v>73</v>
      </c>
      <c r="M4" s="13" t="s">
        <v>73</v>
      </c>
      <c r="N4" s="14" t="s">
        <v>74</v>
      </c>
      <c r="O4" s="14" t="s">
        <v>74</v>
      </c>
      <c r="P4" s="14" t="s">
        <v>74</v>
      </c>
      <c r="Q4" s="14" t="s">
        <v>74</v>
      </c>
      <c r="R4" s="14" t="s">
        <v>74</v>
      </c>
      <c r="S4" s="14" t="s">
        <v>74</v>
      </c>
      <c r="T4" s="14" t="s">
        <v>74</v>
      </c>
      <c r="U4" s="14" t="s">
        <v>74</v>
      </c>
      <c r="V4" s="14" t="s">
        <v>74</v>
      </c>
      <c r="W4" s="15" t="s">
        <v>74</v>
      </c>
      <c r="X4" s="15" t="s">
        <v>74</v>
      </c>
      <c r="Y4" s="15" t="s">
        <v>74</v>
      </c>
      <c r="Z4" s="15" t="s">
        <v>74</v>
      </c>
      <c r="AA4" s="15" t="s">
        <v>74</v>
      </c>
      <c r="AB4" s="15" t="s">
        <v>74</v>
      </c>
      <c r="AC4" s="15" t="s">
        <v>74</v>
      </c>
      <c r="AD4" s="15" t="s">
        <v>74</v>
      </c>
      <c r="AE4" s="15" t="s">
        <v>74</v>
      </c>
      <c r="AF4" s="15" t="s">
        <v>74</v>
      </c>
      <c r="AG4" s="15" t="s">
        <v>74</v>
      </c>
      <c r="AH4" s="15" t="s">
        <v>74</v>
      </c>
      <c r="AI4" s="15" t="s">
        <v>74</v>
      </c>
      <c r="AJ4" s="15" t="s">
        <v>74</v>
      </c>
      <c r="AK4" s="15" t="s">
        <v>74</v>
      </c>
      <c r="AL4" s="15" t="s">
        <v>74</v>
      </c>
      <c r="AM4" s="15" t="s">
        <v>74</v>
      </c>
      <c r="AN4" s="15" t="s">
        <v>74</v>
      </c>
      <c r="AO4" s="15" t="s">
        <v>74</v>
      </c>
      <c r="AP4" s="16" t="s">
        <v>75</v>
      </c>
      <c r="AQ4" s="16" t="s">
        <v>75</v>
      </c>
      <c r="AR4" s="16" t="s">
        <v>75</v>
      </c>
      <c r="AS4" s="16" t="s">
        <v>75</v>
      </c>
    </row>
    <row r="5" customFormat="false" ht="15" hidden="false" customHeight="false" outlineLevel="0" collapsed="false">
      <c r="A5" s="21" t="s">
        <v>14</v>
      </c>
      <c r="B5" s="25"/>
      <c r="C5" s="22"/>
      <c r="D5" s="22"/>
      <c r="E5" s="22"/>
      <c r="F5" s="26" t="n">
        <f aca="false">'매출(Revenue)'!F27</f>
        <v>1500000</v>
      </c>
      <c r="G5" s="26" t="n">
        <f aca="false">'매출(Revenue)'!G27</f>
        <v>2600000</v>
      </c>
      <c r="H5" s="26" t="n">
        <f aca="false">'매출(Revenue)'!H27</f>
        <v>3200000</v>
      </c>
      <c r="I5" s="26" t="n">
        <f aca="false">'매출(Revenue)'!I27</f>
        <v>3600000</v>
      </c>
      <c r="J5" s="26" t="n">
        <f aca="false">'매출(Revenue)'!J27</f>
        <v>5010000</v>
      </c>
      <c r="K5" s="26" t="n">
        <f aca="false">'매출(Revenue)'!K27</f>
        <v>5736000</v>
      </c>
      <c r="L5" s="26" t="n">
        <f aca="false">'매출(Revenue)'!L27</f>
        <v>9202000</v>
      </c>
      <c r="M5" s="26" t="n">
        <f aca="false">'매출(Revenue)'!M27</f>
        <v>6429876</v>
      </c>
      <c r="N5" s="26" t="n">
        <f aca="false">'매출(Revenue)'!N27</f>
        <v>6795000</v>
      </c>
      <c r="O5" s="26" t="n">
        <f aca="false">'매출(Revenue)'!O27</f>
        <v>9395436</v>
      </c>
      <c r="P5" s="26" t="n">
        <f aca="false">'매출(Revenue)'!P27</f>
        <v>15043454</v>
      </c>
      <c r="Q5" s="26" t="n">
        <f aca="false">'매출(Revenue)'!Q27</f>
        <v>25213984</v>
      </c>
      <c r="R5" s="26" t="n">
        <f aca="false">'매출(Revenue)'!R27</f>
        <v>16039616</v>
      </c>
      <c r="S5" s="26" t="n">
        <f aca="false">'매출(Revenue)'!S27</f>
        <v>16948286</v>
      </c>
      <c r="T5" s="26" t="n">
        <f aca="false">'매출(Revenue)'!T27</f>
        <v>20152358</v>
      </c>
      <c r="U5" s="26" t="n">
        <f aca="false">'매출(Revenue)'!U27</f>
        <v>23544920</v>
      </c>
      <c r="V5" s="26" t="n">
        <f aca="false">'매출(Revenue)'!V27</f>
        <v>30818723</v>
      </c>
      <c r="W5" s="26" t="n">
        <f aca="false">'매출(Revenue)'!W27</f>
        <v>45552553</v>
      </c>
      <c r="X5" s="26" t="n">
        <f aca="false">'매출(Revenue)'!X27</f>
        <v>30630079</v>
      </c>
      <c r="Y5" s="26" t="n">
        <f aca="false">'매출(Revenue)'!Y27</f>
        <v>29788875</v>
      </c>
      <c r="Z5" s="26" t="n">
        <f aca="false">'매출(Revenue)'!Z27</f>
        <v>35267179</v>
      </c>
      <c r="AA5" s="26" t="n">
        <f aca="false">'매출(Revenue)'!AA27</f>
        <v>38639882</v>
      </c>
      <c r="AB5" s="26" t="n">
        <f aca="false">'매출(Revenue)'!AB27</f>
        <v>49839033</v>
      </c>
      <c r="AC5" s="26" t="n">
        <f aca="false">'매출(Revenue)'!AC27</f>
        <v>71596421</v>
      </c>
      <c r="AD5" s="26" t="n">
        <f aca="false">'매출(Revenue)'!AD27</f>
        <v>49698636</v>
      </c>
      <c r="AE5" s="26" t="n">
        <f aca="false">'매출(Revenue)'!AE27</f>
        <v>49387033</v>
      </c>
      <c r="AF5" s="26" t="n">
        <f aca="false">'매출(Revenue)'!AF27</f>
        <v>54314510</v>
      </c>
      <c r="AG5" s="26" t="n">
        <f aca="false">'매출(Revenue)'!AG27</f>
        <v>59306923</v>
      </c>
      <c r="AH5" s="26" t="n">
        <f aca="false">'매출(Revenue)'!AH27</f>
        <v>70763067</v>
      </c>
      <c r="AI5" s="26" t="n">
        <f aca="false">'매출(Revenue)'!AI27</f>
        <v>95642338</v>
      </c>
      <c r="AJ5" s="26" t="n">
        <f aca="false">'매출(Revenue)'!AJ27</f>
        <v>67108009</v>
      </c>
      <c r="AK5" s="26" t="n">
        <f aca="false">'매출(Revenue)'!AK27</f>
        <v>63777924</v>
      </c>
      <c r="AL5" s="26" t="n">
        <f aca="false">'매출(Revenue)'!AL27</f>
        <v>70307855</v>
      </c>
      <c r="AM5" s="26" t="n">
        <f aca="false">'매출(Revenue)'!AM27</f>
        <v>73575391</v>
      </c>
      <c r="AN5" s="26" t="n">
        <f aca="false">'매출(Revenue)'!AN27</f>
        <v>82614793</v>
      </c>
      <c r="AO5" s="26" t="n">
        <f aca="false">'매출(Revenue)'!AO27</f>
        <v>114013850</v>
      </c>
      <c r="AP5" s="26" t="n">
        <f aca="false">'매출(Revenue)'!AP27</f>
        <v>37277876</v>
      </c>
      <c r="AQ5" s="26" t="n">
        <f aca="false">'매출(Revenue)'!AQ27</f>
        <v>269923284</v>
      </c>
      <c r="AR5" s="26" t="n">
        <f aca="false">'매출(Revenue)'!AR27</f>
        <v>705340955</v>
      </c>
      <c r="AS5" s="26" t="n">
        <f aca="false">'매출(Revenue)'!AS27</f>
        <v>340511889</v>
      </c>
      <c r="AT5" s="17" t="s">
        <v>210</v>
      </c>
    </row>
    <row r="6" customFormat="false" ht="15" hidden="false" customHeight="false" outlineLevel="0" collapsed="false">
      <c r="A6" s="27" t="s">
        <v>211</v>
      </c>
      <c r="B6" s="10"/>
      <c r="F6" s="8" t="n">
        <f aca="false">'매출(Revenue)'!F24</f>
        <v>0</v>
      </c>
      <c r="G6" s="8" t="n">
        <f aca="false">'매출(Revenue)'!G24</f>
        <v>0</v>
      </c>
      <c r="H6" s="8" t="n">
        <f aca="false">'매출(Revenue)'!H24</f>
        <v>0</v>
      </c>
      <c r="I6" s="8" t="n">
        <f aca="false">'매출(Revenue)'!I24</f>
        <v>0</v>
      </c>
      <c r="J6" s="8" t="n">
        <f aca="false">'매출(Revenue)'!J24</f>
        <v>810000</v>
      </c>
      <c r="K6" s="8" t="n">
        <f aca="false">'매출(Revenue)'!K24</f>
        <v>1836000</v>
      </c>
      <c r="L6" s="8" t="n">
        <f aca="false">'매출(Revenue)'!L24</f>
        <v>2502000</v>
      </c>
      <c r="M6" s="8" t="n">
        <f aca="false">'매출(Revenue)'!M24</f>
        <v>2952000</v>
      </c>
      <c r="N6" s="8" t="n">
        <f aca="false">'매출(Revenue)'!N24</f>
        <v>3825000</v>
      </c>
      <c r="O6" s="8" t="n">
        <f aca="false">'매출(Revenue)'!O24</f>
        <v>5729136</v>
      </c>
      <c r="P6" s="8" t="n">
        <f aca="false">'매출(Revenue)'!P24</f>
        <v>9490592</v>
      </c>
      <c r="Q6" s="8" t="n">
        <f aca="false">'매출(Revenue)'!Q24</f>
        <v>11077592</v>
      </c>
      <c r="R6" s="8" t="n">
        <f aca="false">'매출(Revenue)'!R24</f>
        <v>11821646</v>
      </c>
      <c r="S6" s="8" t="n">
        <f aca="false">'매출(Revenue)'!S24</f>
        <v>13039253</v>
      </c>
      <c r="T6" s="8" t="n">
        <f aca="false">'매출(Revenue)'!T24</f>
        <v>14304818</v>
      </c>
      <c r="U6" s="8" t="n">
        <f aca="false">'매출(Revenue)'!U24</f>
        <v>17117853</v>
      </c>
      <c r="V6" s="8" t="n">
        <f aca="false">'매출(Revenue)'!V24</f>
        <v>22370387</v>
      </c>
      <c r="W6" s="8" t="n">
        <f aca="false">'매출(Revenue)'!W24</f>
        <v>24473055</v>
      </c>
      <c r="X6" s="8" t="n">
        <f aca="false">'매출(Revenue)'!X24</f>
        <v>24971454</v>
      </c>
      <c r="Y6" s="8" t="n">
        <f aca="false">'매출(Revenue)'!Y24</f>
        <v>25115981</v>
      </c>
      <c r="Z6" s="8" t="n">
        <f aca="false">'매출(Revenue)'!Z24</f>
        <v>27329344</v>
      </c>
      <c r="AA6" s="8" t="n">
        <f aca="false">'매출(Revenue)'!AA24</f>
        <v>30846933</v>
      </c>
      <c r="AB6" s="8" t="n">
        <f aca="false">'매출(Revenue)'!AB24</f>
        <v>39614219</v>
      </c>
      <c r="AC6" s="8" t="n">
        <f aca="false">'매출(Revenue)'!AC24</f>
        <v>42557155</v>
      </c>
      <c r="AD6" s="8" t="n">
        <f aca="false">'매출(Revenue)'!AD24</f>
        <v>42703025</v>
      </c>
      <c r="AE6" s="8" t="n">
        <f aca="false">'매출(Revenue)'!AE24</f>
        <v>42967382</v>
      </c>
      <c r="AF6" s="8" t="n">
        <f aca="false">'매출(Revenue)'!AF24</f>
        <v>44605013</v>
      </c>
      <c r="AG6" s="8" t="n">
        <f aca="false">'매출(Revenue)'!AG24</f>
        <v>49029099</v>
      </c>
      <c r="AH6" s="8" t="n">
        <f aca="false">'매출(Revenue)'!AH24</f>
        <v>57480830</v>
      </c>
      <c r="AI6" s="8" t="n">
        <f aca="false">'매출(Revenue)'!AI24</f>
        <v>59651574</v>
      </c>
      <c r="AJ6" s="8" t="n">
        <f aca="false">'매출(Revenue)'!AJ24</f>
        <v>58577753</v>
      </c>
      <c r="AK6" s="8" t="n">
        <f aca="false">'매출(Revenue)'!AK24</f>
        <v>56908886</v>
      </c>
      <c r="AL6" s="8" t="n">
        <f aca="false">'매출(Revenue)'!AL24</f>
        <v>58535963</v>
      </c>
      <c r="AM6" s="8" t="n">
        <f aca="false">'매출(Revenue)'!AM24</f>
        <v>62310014</v>
      </c>
      <c r="AN6" s="8" t="n">
        <f aca="false">'매출(Revenue)'!AN24</f>
        <v>67965405</v>
      </c>
      <c r="AO6" s="8" t="n">
        <f aca="false">'매출(Revenue)'!AO24</f>
        <v>70383117</v>
      </c>
      <c r="AP6" s="8" t="n">
        <f aca="false">'매출(Revenue)'!AP24</f>
        <v>8100000</v>
      </c>
      <c r="AQ6" s="8" t="n">
        <f aca="false">'매출(Revenue)'!AQ24</f>
        <v>183336767</v>
      </c>
      <c r="AR6" s="8" t="n">
        <f aca="false">'매출(Revenue)'!AR24</f>
        <v>552271213</v>
      </c>
      <c r="AS6" s="8" t="n">
        <f aca="false">'매출(Revenue)'!AS24</f>
        <v>259194499</v>
      </c>
    </row>
    <row r="7" customFormat="false" ht="15" hidden="false" customHeight="false" outlineLevel="0" collapsed="false">
      <c r="A7" s="27" t="s">
        <v>212</v>
      </c>
      <c r="B7" s="10"/>
      <c r="F7" s="8" t="n">
        <f aca="false">'매출(Revenue)'!F25</f>
        <v>0</v>
      </c>
      <c r="G7" s="8" t="n">
        <f aca="false">'매출(Revenue)'!G25</f>
        <v>0</v>
      </c>
      <c r="H7" s="8" t="n">
        <f aca="false">'매출(Revenue)'!H25</f>
        <v>0</v>
      </c>
      <c r="I7" s="8" t="n">
        <f aca="false">'매출(Revenue)'!I25</f>
        <v>0</v>
      </c>
      <c r="J7" s="8" t="n">
        <f aca="false">'매출(Revenue)'!J25</f>
        <v>0</v>
      </c>
      <c r="K7" s="8" t="n">
        <f aca="false">'매출(Revenue)'!K25</f>
        <v>0</v>
      </c>
      <c r="L7" s="8" t="n">
        <f aca="false">'매출(Revenue)'!L25</f>
        <v>0</v>
      </c>
      <c r="M7" s="8" t="n">
        <f aca="false">'매출(Revenue)'!M25</f>
        <v>0</v>
      </c>
      <c r="N7" s="8" t="n">
        <f aca="false">'매출(Revenue)'!N25</f>
        <v>0</v>
      </c>
      <c r="O7" s="8" t="n">
        <f aca="false">'매출(Revenue)'!O25</f>
        <v>0</v>
      </c>
      <c r="P7" s="8" t="n">
        <f aca="false">'매출(Revenue)'!P25</f>
        <v>840000</v>
      </c>
      <c r="Q7" s="8" t="n">
        <f aca="false">'매출(Revenue)'!Q25</f>
        <v>806400</v>
      </c>
      <c r="R7" s="8" t="n">
        <f aca="false">'매출(Revenue)'!R25</f>
        <v>1127376</v>
      </c>
      <c r="S7" s="8" t="n">
        <f aca="false">'매출(Revenue)'!S25</f>
        <v>1134366</v>
      </c>
      <c r="T7" s="8" t="n">
        <f aca="false">'매출(Revenue)'!T25</f>
        <v>1444825</v>
      </c>
      <c r="U7" s="8" t="n">
        <f aca="false">'매출(Revenue)'!U25</f>
        <v>2181411</v>
      </c>
      <c r="V7" s="8" t="n">
        <f aca="false">'매출(Revenue)'!V25</f>
        <v>3088195</v>
      </c>
      <c r="W7" s="8" t="n">
        <f aca="false">'매출(Revenue)'!W25</f>
        <v>2798504</v>
      </c>
      <c r="X7" s="8" t="n">
        <f aca="false">'매출(Revenue)'!X25</f>
        <v>2377897</v>
      </c>
      <c r="Y7" s="8" t="n">
        <f aca="false">'매출(Revenue)'!Y25</f>
        <v>2095700</v>
      </c>
      <c r="Z7" s="8" t="n">
        <f aca="false">'매출(Revenue)'!Z25</f>
        <v>2841165</v>
      </c>
      <c r="AA7" s="8" t="n">
        <f aca="false">'매출(Revenue)'!AA25</f>
        <v>3661670</v>
      </c>
      <c r="AB7" s="8" t="n">
        <f aca="false">'매출(Revenue)'!AB25</f>
        <v>4914243</v>
      </c>
      <c r="AC7" s="8" t="n">
        <f aca="false">'매출(Revenue)'!AC25</f>
        <v>4441829</v>
      </c>
      <c r="AD7" s="8" t="n">
        <f aca="false">'매출(Revenue)'!AD25</f>
        <v>3513052</v>
      </c>
      <c r="AE7" s="8" t="n">
        <f aca="false">'매출(Revenue)'!AE25</f>
        <v>3293087</v>
      </c>
      <c r="AF7" s="8" t="n">
        <f aca="false">'매출(Revenue)'!AF25</f>
        <v>3906939</v>
      </c>
      <c r="AG7" s="8" t="n">
        <f aca="false">'매출(Revenue)'!AG25</f>
        <v>5493713</v>
      </c>
      <c r="AH7" s="8" t="n">
        <f aca="false">'매출(Revenue)'!AH25</f>
        <v>7242296</v>
      </c>
      <c r="AI7" s="8" t="n">
        <f aca="false">'매출(Revenue)'!AI25</f>
        <v>6110492</v>
      </c>
      <c r="AJ7" s="8" t="n">
        <f aca="false">'매출(Revenue)'!AJ25</f>
        <v>4833450</v>
      </c>
      <c r="AK7" s="8" t="n">
        <f aca="false">'매출(Revenue)'!AK25</f>
        <v>3964991</v>
      </c>
      <c r="AL7" s="8" t="n">
        <f aca="false">'매출(Revenue)'!AL25</f>
        <v>5250780</v>
      </c>
      <c r="AM7" s="8" t="n">
        <f aca="false">'매출(Revenue)'!AM25</f>
        <v>6610149</v>
      </c>
      <c r="AN7" s="8" t="n">
        <f aca="false">'매출(Revenue)'!AN25</f>
        <v>8665304</v>
      </c>
      <c r="AO7" s="8" t="n">
        <f aca="false">'매출(Revenue)'!AO25</f>
        <v>7650226</v>
      </c>
      <c r="AP7" s="8" t="n">
        <f aca="false">'매출(Revenue)'!AP25</f>
        <v>0</v>
      </c>
      <c r="AQ7" s="8" t="n">
        <f aca="false">'매출(Revenue)'!AQ25</f>
        <v>17894674</v>
      </c>
      <c r="AR7" s="8" t="n">
        <f aca="false">'매출(Revenue)'!AR25</f>
        <v>54216927</v>
      </c>
      <c r="AS7" s="8" t="n">
        <f aca="false">'매출(Revenue)'!AS25</f>
        <v>28176459</v>
      </c>
    </row>
    <row r="8" customFormat="false" ht="15" hidden="false" customHeight="false" outlineLevel="0" collapsed="false">
      <c r="A8" s="27" t="s">
        <v>213</v>
      </c>
      <c r="B8" s="10"/>
      <c r="F8" s="8" t="n">
        <f aca="false">'매출(Revenue)'!F26</f>
        <v>1500000</v>
      </c>
      <c r="G8" s="8" t="n">
        <f aca="false">'매출(Revenue)'!G26</f>
        <v>2600000</v>
      </c>
      <c r="H8" s="8" t="n">
        <f aca="false">'매출(Revenue)'!H26</f>
        <v>3200000</v>
      </c>
      <c r="I8" s="8" t="n">
        <f aca="false">'매출(Revenue)'!I26</f>
        <v>3600000</v>
      </c>
      <c r="J8" s="8" t="n">
        <f aca="false">'매출(Revenue)'!J26</f>
        <v>4200000</v>
      </c>
      <c r="K8" s="8" t="n">
        <f aca="false">'매출(Revenue)'!K26</f>
        <v>3900000</v>
      </c>
      <c r="L8" s="8" t="n">
        <f aca="false">'매출(Revenue)'!L26</f>
        <v>6700000</v>
      </c>
      <c r="M8" s="8" t="n">
        <f aca="false">'매출(Revenue)'!M26</f>
        <v>3477876</v>
      </c>
      <c r="N8" s="8" t="n">
        <f aca="false">'매출(Revenue)'!N26</f>
        <v>2970000</v>
      </c>
      <c r="O8" s="8" t="n">
        <f aca="false">'매출(Revenue)'!O26</f>
        <v>3666300</v>
      </c>
      <c r="P8" s="8" t="n">
        <f aca="false">'매출(Revenue)'!P26</f>
        <v>4712862</v>
      </c>
      <c r="Q8" s="8" t="n">
        <f aca="false">'매출(Revenue)'!Q26</f>
        <v>13329992</v>
      </c>
      <c r="R8" s="8" t="n">
        <f aca="false">'매출(Revenue)'!R26</f>
        <v>3090594</v>
      </c>
      <c r="S8" s="8" t="n">
        <f aca="false">'매출(Revenue)'!S26</f>
        <v>2774667</v>
      </c>
      <c r="T8" s="8" t="n">
        <f aca="false">'매출(Revenue)'!T26</f>
        <v>4402715</v>
      </c>
      <c r="U8" s="8" t="n">
        <f aca="false">'매출(Revenue)'!U26</f>
        <v>4245656</v>
      </c>
      <c r="V8" s="8" t="n">
        <f aca="false">'매출(Revenue)'!V26</f>
        <v>5360141</v>
      </c>
      <c r="W8" s="8" t="n">
        <f aca="false">'매출(Revenue)'!W26</f>
        <v>18280994</v>
      </c>
      <c r="X8" s="8" t="n">
        <f aca="false">'매출(Revenue)'!X26</f>
        <v>3280728</v>
      </c>
      <c r="Y8" s="8" t="n">
        <f aca="false">'매출(Revenue)'!Y26</f>
        <v>2577194</v>
      </c>
      <c r="Z8" s="8" t="n">
        <f aca="false">'매출(Revenue)'!Z26</f>
        <v>5096670</v>
      </c>
      <c r="AA8" s="8" t="n">
        <f aca="false">'매출(Revenue)'!AA26</f>
        <v>4131279</v>
      </c>
      <c r="AB8" s="8" t="n">
        <f aca="false">'매출(Revenue)'!AB26</f>
        <v>5310571</v>
      </c>
      <c r="AC8" s="8" t="n">
        <f aca="false">'매출(Revenue)'!AC26</f>
        <v>24597437</v>
      </c>
      <c r="AD8" s="8" t="n">
        <f aca="false">'매출(Revenue)'!AD26</f>
        <v>3482559</v>
      </c>
      <c r="AE8" s="8" t="n">
        <f aca="false">'매출(Revenue)'!AE26</f>
        <v>3126564</v>
      </c>
      <c r="AF8" s="8" t="n">
        <f aca="false">'매출(Revenue)'!AF26</f>
        <v>5802558</v>
      </c>
      <c r="AG8" s="8" t="n">
        <f aca="false">'매출(Revenue)'!AG26</f>
        <v>4784111</v>
      </c>
      <c r="AH8" s="8" t="n">
        <f aca="false">'매출(Revenue)'!AH26</f>
        <v>6039941</v>
      </c>
      <c r="AI8" s="8" t="n">
        <f aca="false">'매출(Revenue)'!AI26</f>
        <v>29880272</v>
      </c>
      <c r="AJ8" s="8" t="n">
        <f aca="false">'매출(Revenue)'!AJ26</f>
        <v>3696806</v>
      </c>
      <c r="AK8" s="8" t="n">
        <f aca="false">'매출(Revenue)'!AK26</f>
        <v>2904047</v>
      </c>
      <c r="AL8" s="8" t="n">
        <f aca="false">'매출(Revenue)'!AL26</f>
        <v>6521112</v>
      </c>
      <c r="AM8" s="8" t="n">
        <f aca="false">'매출(Revenue)'!AM26</f>
        <v>4655228</v>
      </c>
      <c r="AN8" s="8" t="n">
        <f aca="false">'매출(Revenue)'!AN26</f>
        <v>5984084</v>
      </c>
      <c r="AO8" s="8" t="n">
        <f aca="false">'매출(Revenue)'!AO26</f>
        <v>35980507</v>
      </c>
      <c r="AP8" s="8" t="n">
        <f aca="false">'매출(Revenue)'!AP26</f>
        <v>29177876</v>
      </c>
      <c r="AQ8" s="8" t="n">
        <f aca="false">'매출(Revenue)'!AQ26</f>
        <v>68691843</v>
      </c>
      <c r="AR8" s="8" t="n">
        <f aca="false">'매출(Revenue)'!AR26</f>
        <v>98852815</v>
      </c>
      <c r="AS8" s="8" t="n">
        <f aca="false">'매출(Revenue)'!AS26</f>
        <v>53140931</v>
      </c>
    </row>
    <row r="9" customFormat="false" ht="15" hidden="false" customHeight="false" outlineLevel="0" collapsed="false">
      <c r="A9" s="3" t="s">
        <v>108</v>
      </c>
      <c r="B9" s="10"/>
      <c r="F9" s="28" t="n">
        <f aca="false">'매출원가(COGS)'!F21</f>
        <v>49500</v>
      </c>
      <c r="G9" s="28" t="n">
        <f aca="false">'매출원가(COGS)'!G21</f>
        <v>85800</v>
      </c>
      <c r="H9" s="28" t="n">
        <f aca="false">'매출원가(COGS)'!H21</f>
        <v>105600</v>
      </c>
      <c r="I9" s="28" t="n">
        <f aca="false">'매출원가(COGS)'!I21</f>
        <v>118800</v>
      </c>
      <c r="J9" s="28" t="n">
        <f aca="false">'매출원가(COGS)'!J21</f>
        <v>716930</v>
      </c>
      <c r="K9" s="28" t="n">
        <f aca="false">'매출원가(COGS)'!K21</f>
        <v>1044008</v>
      </c>
      <c r="L9" s="28" t="n">
        <f aca="false">'매출원가(COGS)'!L21</f>
        <v>4239826</v>
      </c>
      <c r="M9" s="28" t="n">
        <f aca="false">'매출원가(COGS)'!M21</f>
        <v>1306006</v>
      </c>
      <c r="N9" s="28" t="n">
        <f aca="false">'매출원가(COGS)'!N21</f>
        <v>1594838</v>
      </c>
      <c r="O9" s="28" t="n">
        <f aca="false">'매출원가(COGS)'!O21</f>
        <v>2892294</v>
      </c>
      <c r="P9" s="28" t="n">
        <f aca="false">'매출원가(COGS)'!P21</f>
        <v>4749415</v>
      </c>
      <c r="Q9" s="28" t="n">
        <f aca="false">'매출원가(COGS)'!Q21</f>
        <v>9709012</v>
      </c>
      <c r="R9" s="28" t="n">
        <f aca="false">'매출원가(COGS)'!R21</f>
        <v>5234390</v>
      </c>
      <c r="S9" s="28" t="n">
        <f aca="false">'매출원가(COGS)'!S21</f>
        <v>5589567</v>
      </c>
      <c r="T9" s="28" t="n">
        <f aca="false">'매출원가(COGS)'!T21</f>
        <v>6047582</v>
      </c>
      <c r="U9" s="28" t="n">
        <f aca="false">'매출원가(COGS)'!U21</f>
        <v>7108781</v>
      </c>
      <c r="V9" s="28" t="n">
        <f aca="false">'매출원가(COGS)'!V21</f>
        <v>8619965</v>
      </c>
      <c r="W9" s="28" t="n">
        <f aca="false">'매출원가(COGS)'!W21</f>
        <v>14592382</v>
      </c>
      <c r="X9" s="28" t="n">
        <f aca="false">'매출원가(COGS)'!X21</f>
        <v>8796623</v>
      </c>
      <c r="Y9" s="28" t="n">
        <f aca="false">'매출원가(COGS)'!Y21</f>
        <v>8666349</v>
      </c>
      <c r="Z9" s="28" t="n">
        <f aca="false">'매출원가(COGS)'!Z21</f>
        <v>9989480</v>
      </c>
      <c r="AA9" s="28" t="n">
        <f aca="false">'매출원가(COGS)'!AA21</f>
        <v>11246234</v>
      </c>
      <c r="AB9" s="28" t="n">
        <f aca="false">'매출원가(COGS)'!AB21</f>
        <v>13339510</v>
      </c>
      <c r="AC9" s="28" t="n">
        <f aca="false">'매출원가(COGS)'!AC21</f>
        <v>20496766</v>
      </c>
      <c r="AD9" s="28" t="n">
        <f aca="false">'매출원가(COGS)'!AD21</f>
        <v>13352556</v>
      </c>
      <c r="AE9" s="28" t="n">
        <f aca="false">'매출원가(COGS)'!AE21</f>
        <v>13281446</v>
      </c>
      <c r="AF9" s="28" t="n">
        <f aca="false">'매출원가(COGS)'!AF21</f>
        <v>13887913</v>
      </c>
      <c r="AG9" s="28" t="n">
        <f aca="false">'매출원가(COGS)'!AG21</f>
        <v>15597319</v>
      </c>
      <c r="AH9" s="28" t="n">
        <f aca="false">'매출원가(COGS)'!AH21</f>
        <v>17703422</v>
      </c>
      <c r="AI9" s="28" t="n">
        <f aca="false">'매출원가(COGS)'!AI21</f>
        <v>25410571</v>
      </c>
      <c r="AJ9" s="28" t="n">
        <f aca="false">'매출원가(COGS)'!AJ21</f>
        <v>16775858</v>
      </c>
      <c r="AK9" s="28" t="n">
        <f aca="false">'매출원가(COGS)'!AK21</f>
        <v>15995780</v>
      </c>
      <c r="AL9" s="28" t="n">
        <f aca="false">'매출원가(COGS)'!AL21</f>
        <v>17032342</v>
      </c>
      <c r="AM9" s="28" t="n">
        <f aca="false">'매출원가(COGS)'!AM21</f>
        <v>18452620</v>
      </c>
      <c r="AN9" s="28" t="n">
        <f aca="false">'매출원가(COGS)'!AN21</f>
        <v>20148776</v>
      </c>
      <c r="AO9" s="28" t="n">
        <f aca="false">'매출원가(COGS)'!AO21</f>
        <v>28998574</v>
      </c>
      <c r="AP9" s="28" t="n">
        <f aca="false">'매출원가(COGS)'!AP21</f>
        <v>7666470</v>
      </c>
      <c r="AQ9" s="28" t="n">
        <f aca="false">'매출원가(COGS)'!AQ21</f>
        <v>83601198</v>
      </c>
      <c r="AR9" s="28" t="n">
        <f aca="false">'매출원가(COGS)'!AR21</f>
        <v>187076855</v>
      </c>
      <c r="AS9" s="28" t="n">
        <f aca="false">'매출원가(COGS)'!AS21</f>
        <v>84632312</v>
      </c>
      <c r="AT9" s="17" t="s">
        <v>214</v>
      </c>
    </row>
    <row r="10" customFormat="false" ht="15" hidden="false" customHeight="false" outlineLevel="0" collapsed="false">
      <c r="A10" s="27" t="s">
        <v>211</v>
      </c>
      <c r="B10" s="10"/>
      <c r="F10" s="8" t="n">
        <f aca="false">'매출원가(COGS)'!F18</f>
        <v>0</v>
      </c>
      <c r="G10" s="8" t="n">
        <f aca="false">'매출원가(COGS)'!G18</f>
        <v>0</v>
      </c>
      <c r="H10" s="8" t="n">
        <f aca="false">'매출원가(COGS)'!H18</f>
        <v>0</v>
      </c>
      <c r="I10" s="8" t="n">
        <f aca="false">'매출원가(COGS)'!I18</f>
        <v>0</v>
      </c>
      <c r="J10" s="8" t="n">
        <f aca="false">'매출원가(COGS)'!J18</f>
        <v>578330</v>
      </c>
      <c r="K10" s="8" t="n">
        <f aca="false">'매출원가(COGS)'!K18</f>
        <v>871748</v>
      </c>
      <c r="L10" s="8" t="n">
        <f aca="false">'매출원가(COGS)'!L18</f>
        <v>1062286</v>
      </c>
      <c r="M10" s="8" t="n">
        <f aca="false">'매출원가(COGS)'!M18</f>
        <v>1191236</v>
      </c>
      <c r="N10" s="8" t="n">
        <f aca="false">'매출원가(COGS)'!N18</f>
        <v>1496828</v>
      </c>
      <c r="O10" s="8" t="n">
        <f aca="false">'매출원가(COGS)'!O18</f>
        <v>2171306</v>
      </c>
      <c r="P10" s="8" t="n">
        <f aca="false">'매출원가(COGS)'!P18</f>
        <v>3066591</v>
      </c>
      <c r="Q10" s="8" t="n">
        <f aca="false">'매출원가(COGS)'!Q18</f>
        <v>3513214</v>
      </c>
      <c r="R10" s="8" t="n">
        <f aca="false">'매출원가(COGS)'!R18</f>
        <v>3644178</v>
      </c>
      <c r="S10" s="8" t="n">
        <f aca="false">'매출원가(COGS)'!S18</f>
        <v>4008682</v>
      </c>
      <c r="T10" s="8" t="n">
        <f aca="false">'매출원가(COGS)'!T18</f>
        <v>4391866</v>
      </c>
      <c r="U10" s="8" t="n">
        <f aca="false">'매출원가(COGS)'!U18</f>
        <v>5268915</v>
      </c>
      <c r="V10" s="8" t="n">
        <f aca="false">'매출원가(COGS)'!V18</f>
        <v>6436654</v>
      </c>
      <c r="W10" s="8" t="n">
        <f aca="false">'매출원가(COGS)'!W18</f>
        <v>6939778</v>
      </c>
      <c r="X10" s="8" t="n">
        <f aca="false">'매출원가(COGS)'!X18</f>
        <v>6951020</v>
      </c>
      <c r="Y10" s="8" t="n">
        <f aca="false">'매출원가(COGS)'!Y18</f>
        <v>6901212</v>
      </c>
      <c r="Z10" s="8" t="n">
        <f aca="false">'매출원가(COGS)'!Z18</f>
        <v>7594812</v>
      </c>
      <c r="AA10" s="8" t="n">
        <f aca="false">'매출원가(COGS)'!AA18</f>
        <v>8661664</v>
      </c>
      <c r="AB10" s="8" t="n">
        <f aca="false">'매출원가(COGS)'!AB18</f>
        <v>10287506</v>
      </c>
      <c r="AC10" s="8" t="n">
        <f aca="false">'매출원가(COGS)'!AC18</f>
        <v>10974206</v>
      </c>
      <c r="AD10" s="8" t="n">
        <f aca="false">'매출원가(COGS)'!AD18</f>
        <v>10820243</v>
      </c>
      <c r="AE10" s="8" t="n">
        <f aca="false">'매출원가(COGS)'!AE18</f>
        <v>10805199</v>
      </c>
      <c r="AF10" s="8" t="n">
        <f aca="false">'매출원가(COGS)'!AF18</f>
        <v>11275346</v>
      </c>
      <c r="AG10" s="8" t="n">
        <f aca="false">'매출원가(COGS)'!AG18</f>
        <v>12627753</v>
      </c>
      <c r="AH10" s="8" t="n">
        <f aca="false">'매출원가(COGS)'!AH18</f>
        <v>14126302</v>
      </c>
      <c r="AI10" s="8" t="n">
        <f aca="false">'매출원가(COGS)'!AI18</f>
        <v>14489276</v>
      </c>
      <c r="AJ10" s="8" t="n">
        <f aca="false">'매출원가(COGS)'!AJ18</f>
        <v>13975484</v>
      </c>
      <c r="AK10" s="8" t="n">
        <f aca="false">'매출원가(COGS)'!AK18</f>
        <v>13395077</v>
      </c>
      <c r="AL10" s="8" t="n">
        <f aca="false">'매출원가(COGS)'!AL18</f>
        <v>13946882</v>
      </c>
      <c r="AM10" s="8" t="n">
        <f aca="false">'매출원가(COGS)'!AM18</f>
        <v>15067182</v>
      </c>
      <c r="AN10" s="8" t="n">
        <f aca="false">'매출원가(COGS)'!AN18</f>
        <v>16035517</v>
      </c>
      <c r="AO10" s="8" t="n">
        <f aca="false">'매출원가(COGS)'!AO18</f>
        <v>16476768</v>
      </c>
      <c r="AP10" s="8" t="n">
        <f aca="false">'매출원가(COGS)'!AP18</f>
        <v>3703600</v>
      </c>
      <c r="AQ10" s="8" t="n">
        <f aca="false">'매출원가(COGS)'!AQ18</f>
        <v>54790244</v>
      </c>
      <c r="AR10" s="8" t="n">
        <f aca="false">'매출원가(COGS)'!AR18</f>
        <v>139032868</v>
      </c>
      <c r="AS10" s="8" t="n">
        <f aca="false">'매출원가(COGS)'!AS18</f>
        <v>61526349</v>
      </c>
    </row>
    <row r="11" customFormat="false" ht="15" hidden="false" customHeight="false" outlineLevel="0" collapsed="false">
      <c r="A11" s="27" t="s">
        <v>215</v>
      </c>
      <c r="B11" s="10"/>
      <c r="F11" s="8" t="n">
        <f aca="false">'매출원가(COGS)'!F19</f>
        <v>0</v>
      </c>
      <c r="G11" s="8" t="n">
        <f aca="false">'매출원가(COGS)'!G19</f>
        <v>0</v>
      </c>
      <c r="H11" s="8" t="n">
        <f aca="false">'매출원가(COGS)'!H19</f>
        <v>0</v>
      </c>
      <c r="I11" s="8" t="n">
        <f aca="false">'매출원가(COGS)'!I19</f>
        <v>0</v>
      </c>
      <c r="J11" s="8" t="n">
        <f aca="false">'매출원가(COGS)'!J19</f>
        <v>0</v>
      </c>
      <c r="K11" s="8" t="n">
        <f aca="false">'매출원가(COGS)'!K19</f>
        <v>0</v>
      </c>
      <c r="L11" s="8" t="n">
        <f aca="false">'매출원가(COGS)'!L19</f>
        <v>0</v>
      </c>
      <c r="M11" s="8" t="n">
        <f aca="false">'매출원가(COGS)'!M19</f>
        <v>0</v>
      </c>
      <c r="N11" s="8" t="n">
        <f aca="false">'매출원가(COGS)'!N19</f>
        <v>0</v>
      </c>
      <c r="O11" s="8" t="n">
        <f aca="false">'매출원가(COGS)'!O19</f>
        <v>600000</v>
      </c>
      <c r="P11" s="8" t="n">
        <f aca="false">'매출원가(COGS)'!P19</f>
        <v>1444800</v>
      </c>
      <c r="Q11" s="8" t="n">
        <f aca="false">'매출원가(COGS)'!Q19</f>
        <v>1437408</v>
      </c>
      <c r="R11" s="8" t="n">
        <f aca="false">'매출원가(COGS)'!R19</f>
        <v>1488222</v>
      </c>
      <c r="S11" s="8" t="n">
        <f aca="false">'매출원가(COGS)'!S19</f>
        <v>1489321</v>
      </c>
      <c r="T11" s="8" t="n">
        <f aca="false">'매출원가(COGS)'!T19</f>
        <v>1551676</v>
      </c>
      <c r="U11" s="8" t="n">
        <f aca="false">'매출원가(COGS)'!U19</f>
        <v>1699759</v>
      </c>
      <c r="V11" s="8" t="n">
        <f aca="false">'매출원가(COGS)'!V19</f>
        <v>1881686</v>
      </c>
      <c r="W11" s="8" t="n">
        <f aca="false">'매출원가(COGS)'!W19</f>
        <v>1822571</v>
      </c>
      <c r="X11" s="8" t="n">
        <f aca="false">'매출원가(COGS)'!X19</f>
        <v>1737339</v>
      </c>
      <c r="Y11" s="8" t="n">
        <f aca="false">'매출원가(COGS)'!Y19</f>
        <v>1680090</v>
      </c>
      <c r="Z11" s="8" t="n">
        <f aca="false">'매출원가(COGS)'!Z19</f>
        <v>2284228</v>
      </c>
      <c r="AA11" s="8" t="n">
        <f aca="false">'매출원가(COGS)'!AA19</f>
        <v>2448238</v>
      </c>
      <c r="AB11" s="8" t="n">
        <f aca="false">'매출원가(COGS)'!AB19</f>
        <v>2698555</v>
      </c>
      <c r="AC11" s="8" t="n">
        <f aca="false">'매출원가(COGS)'!AC19</f>
        <v>2603545</v>
      </c>
      <c r="AD11" s="8" t="n">
        <f aca="false">'매출원가(COGS)'!AD19</f>
        <v>2417389</v>
      </c>
      <c r="AE11" s="8" t="n">
        <f aca="false">'매출원가(COGS)'!AE19</f>
        <v>2373070</v>
      </c>
      <c r="AF11" s="8" t="n">
        <f aca="false">'매출원가(COGS)'!AF19</f>
        <v>2495333</v>
      </c>
      <c r="AG11" s="8" t="n">
        <f aca="false">'매출원가(COGS)'!AG19</f>
        <v>2811690</v>
      </c>
      <c r="AH11" s="8" t="n">
        <f aca="false">'매출원가(COGS)'!AH19</f>
        <v>3160002</v>
      </c>
      <c r="AI11" s="8" t="n">
        <f aca="false">'매출원가(COGS)'!AI19</f>
        <v>2933546</v>
      </c>
      <c r="AJ11" s="8" t="n">
        <f aca="false">'매출원가(COGS)'!AJ19</f>
        <v>2678379</v>
      </c>
      <c r="AK11" s="8" t="n">
        <f aca="false">'매출원가(COGS)'!AK19</f>
        <v>2504869</v>
      </c>
      <c r="AL11" s="8" t="n">
        <f aca="false">'매출원가(COGS)'!AL19</f>
        <v>2961013</v>
      </c>
      <c r="AM11" s="8" t="n">
        <f aca="false">'매출원가(COGS)'!AM19</f>
        <v>3231815</v>
      </c>
      <c r="AN11" s="8" t="n">
        <f aca="false">'매출원가(COGS)'!AN19</f>
        <v>3641224</v>
      </c>
      <c r="AO11" s="8" t="n">
        <f aca="false">'매출원가(COGS)'!AO19</f>
        <v>3439009</v>
      </c>
      <c r="AP11" s="8" t="n">
        <f aca="false">'매출원가(COGS)'!AP19</f>
        <v>0</v>
      </c>
      <c r="AQ11" s="8" t="n">
        <f aca="false">'매출원가(COGS)'!AQ19</f>
        <v>16832872</v>
      </c>
      <c r="AR11" s="8" t="n">
        <f aca="false">'매출원가(COGS)'!AR19</f>
        <v>31408844</v>
      </c>
      <c r="AS11" s="8" t="n">
        <f aca="false">'매출원가(COGS)'!AS19</f>
        <v>13273061</v>
      </c>
    </row>
    <row r="12" customFormat="false" ht="15" hidden="false" customHeight="false" outlineLevel="0" collapsed="false">
      <c r="A12" s="27" t="s">
        <v>213</v>
      </c>
      <c r="B12" s="10"/>
      <c r="F12" s="8" t="n">
        <f aca="false">'매출원가(COGS)'!F20</f>
        <v>49500</v>
      </c>
      <c r="G12" s="8" t="n">
        <f aca="false">'매출원가(COGS)'!G20</f>
        <v>85800</v>
      </c>
      <c r="H12" s="8" t="n">
        <f aca="false">'매출원가(COGS)'!H20</f>
        <v>105600</v>
      </c>
      <c r="I12" s="8" t="n">
        <f aca="false">'매출원가(COGS)'!I20</f>
        <v>118800</v>
      </c>
      <c r="J12" s="8" t="n">
        <f aca="false">'매출원가(COGS)'!J20</f>
        <v>138600</v>
      </c>
      <c r="K12" s="8" t="n">
        <f aca="false">'매출원가(COGS)'!K20</f>
        <v>172260</v>
      </c>
      <c r="L12" s="8" t="n">
        <f aca="false">'매출원가(COGS)'!L20</f>
        <v>3177540</v>
      </c>
      <c r="M12" s="8" t="n">
        <f aca="false">'매출원가(COGS)'!M20</f>
        <v>114770</v>
      </c>
      <c r="N12" s="8" t="n">
        <f aca="false">'매출원가(COGS)'!N20</f>
        <v>98010</v>
      </c>
      <c r="O12" s="8" t="n">
        <f aca="false">'매출원가(COGS)'!O20</f>
        <v>120988</v>
      </c>
      <c r="P12" s="8" t="n">
        <f aca="false">'매출원가(COGS)'!P20</f>
        <v>238024</v>
      </c>
      <c r="Q12" s="8" t="n">
        <f aca="false">'매출원가(COGS)'!Q20</f>
        <v>4758390</v>
      </c>
      <c r="R12" s="8" t="n">
        <f aca="false">'매출원가(COGS)'!R20</f>
        <v>101990</v>
      </c>
      <c r="S12" s="8" t="n">
        <f aca="false">'매출원가(COGS)'!S20</f>
        <v>91564</v>
      </c>
      <c r="T12" s="8" t="n">
        <f aca="false">'매출원가(COGS)'!T20</f>
        <v>104040</v>
      </c>
      <c r="U12" s="8" t="n">
        <f aca="false">'매출원가(COGS)'!U20</f>
        <v>140107</v>
      </c>
      <c r="V12" s="8" t="n">
        <f aca="false">'매출원가(COGS)'!V20</f>
        <v>301625</v>
      </c>
      <c r="W12" s="8" t="n">
        <f aca="false">'매출원가(COGS)'!W20</f>
        <v>5830033</v>
      </c>
      <c r="X12" s="8" t="n">
        <f aca="false">'매출원가(COGS)'!X20</f>
        <v>108264</v>
      </c>
      <c r="Y12" s="8" t="n">
        <f aca="false">'매출원가(COGS)'!Y20</f>
        <v>85047</v>
      </c>
      <c r="Z12" s="8" t="n">
        <f aca="false">'매출원가(COGS)'!Z20</f>
        <v>110440</v>
      </c>
      <c r="AA12" s="8" t="n">
        <f aca="false">'매출원가(COGS)'!AA20</f>
        <v>136332</v>
      </c>
      <c r="AB12" s="8" t="n">
        <f aca="false">'매출원가(COGS)'!AB20</f>
        <v>353449</v>
      </c>
      <c r="AC12" s="8" t="n">
        <f aca="false">'매출원가(COGS)'!AC20</f>
        <v>6919015</v>
      </c>
      <c r="AD12" s="8" t="n">
        <f aca="false">'매출원가(COGS)'!AD20</f>
        <v>114924</v>
      </c>
      <c r="AE12" s="8" t="n">
        <f aca="false">'매출원가(COGS)'!AE20</f>
        <v>103177</v>
      </c>
      <c r="AF12" s="8" t="n">
        <f aca="false">'매출원가(COGS)'!AF20</f>
        <v>117234</v>
      </c>
      <c r="AG12" s="8" t="n">
        <f aca="false">'매출원가(COGS)'!AG20</f>
        <v>157876</v>
      </c>
      <c r="AH12" s="8" t="n">
        <f aca="false">'매출원가(COGS)'!AH20</f>
        <v>417118</v>
      </c>
      <c r="AI12" s="8" t="n">
        <f aca="false">'매출원가(COGS)'!AI20</f>
        <v>7987749</v>
      </c>
      <c r="AJ12" s="8" t="n">
        <f aca="false">'매출원가(COGS)'!AJ20</f>
        <v>121995</v>
      </c>
      <c r="AK12" s="8" t="n">
        <f aca="false">'매출원가(COGS)'!AK20</f>
        <v>95834</v>
      </c>
      <c r="AL12" s="8" t="n">
        <f aca="false">'매출원가(COGS)'!AL20</f>
        <v>124447</v>
      </c>
      <c r="AM12" s="8" t="n">
        <f aca="false">'매출원가(COGS)'!AM20</f>
        <v>153623</v>
      </c>
      <c r="AN12" s="8" t="n">
        <f aca="false">'매출원가(COGS)'!AN20</f>
        <v>472035</v>
      </c>
      <c r="AO12" s="8" t="n">
        <f aca="false">'매출원가(COGS)'!AO20</f>
        <v>9082797</v>
      </c>
      <c r="AP12" s="8" t="n">
        <f aca="false">'매출원가(COGS)'!AP20</f>
        <v>3962870</v>
      </c>
      <c r="AQ12" s="8" t="n">
        <f aca="false">'매출원가(COGS)'!AQ20</f>
        <v>11978082</v>
      </c>
      <c r="AR12" s="8" t="n">
        <f aca="false">'매출원가(COGS)'!AR20</f>
        <v>16635143</v>
      </c>
      <c r="AS12" s="8" t="n">
        <f aca="false">'매출원가(COGS)'!AS20</f>
        <v>9832902</v>
      </c>
    </row>
    <row r="13" customFormat="false" ht="15" hidden="false" customHeight="false" outlineLevel="0" collapsed="false">
      <c r="A13" s="18" t="s">
        <v>216</v>
      </c>
      <c r="B13" s="29"/>
      <c r="C13" s="19"/>
      <c r="D13" s="19"/>
      <c r="E13" s="19"/>
      <c r="F13" s="20" t="n">
        <f aca="false">F5-F9</f>
        <v>1450500</v>
      </c>
      <c r="G13" s="20" t="n">
        <f aca="false">G5-G9</f>
        <v>2514200</v>
      </c>
      <c r="H13" s="20" t="n">
        <f aca="false">H5-H9</f>
        <v>3094400</v>
      </c>
      <c r="I13" s="20" t="n">
        <f aca="false">I5-I9</f>
        <v>3481200</v>
      </c>
      <c r="J13" s="20" t="n">
        <f aca="false">J5-J9</f>
        <v>4293070</v>
      </c>
      <c r="K13" s="20" t="n">
        <f aca="false">K5-K9</f>
        <v>4691992</v>
      </c>
      <c r="L13" s="20" t="n">
        <f aca="false">L5-L9</f>
        <v>4962174</v>
      </c>
      <c r="M13" s="20" t="n">
        <f aca="false">M5-M9</f>
        <v>5123870</v>
      </c>
      <c r="N13" s="20" t="n">
        <f aca="false">N5-N9</f>
        <v>5200162</v>
      </c>
      <c r="O13" s="20" t="n">
        <f aca="false">O5-O9</f>
        <v>6503142</v>
      </c>
      <c r="P13" s="20" t="n">
        <f aca="false">P5-P9</f>
        <v>10294039</v>
      </c>
      <c r="Q13" s="20" t="n">
        <f aca="false">Q5-Q9</f>
        <v>15504972</v>
      </c>
      <c r="R13" s="20" t="n">
        <f aca="false">R5-R9</f>
        <v>10805226</v>
      </c>
      <c r="S13" s="20" t="n">
        <f aca="false">S5-S9</f>
        <v>11358719</v>
      </c>
      <c r="T13" s="20" t="n">
        <f aca="false">T5-T9</f>
        <v>14104776</v>
      </c>
      <c r="U13" s="20" t="n">
        <f aca="false">U5-U9</f>
        <v>16436139</v>
      </c>
      <c r="V13" s="20" t="n">
        <f aca="false">V5-V9</f>
        <v>22198758</v>
      </c>
      <c r="W13" s="20" t="n">
        <f aca="false">W5-W9</f>
        <v>30960171</v>
      </c>
      <c r="X13" s="20" t="n">
        <f aca="false">X5-X9</f>
        <v>21833456</v>
      </c>
      <c r="Y13" s="20" t="n">
        <f aca="false">Y5-Y9</f>
        <v>21122526</v>
      </c>
      <c r="Z13" s="20" t="n">
        <f aca="false">Z5-Z9</f>
        <v>25277699</v>
      </c>
      <c r="AA13" s="20" t="n">
        <f aca="false">AA5-AA9</f>
        <v>27393648</v>
      </c>
      <c r="AB13" s="20" t="n">
        <f aca="false">AB5-AB9</f>
        <v>36499523</v>
      </c>
      <c r="AC13" s="20" t="n">
        <f aca="false">AC5-AC9</f>
        <v>51099655</v>
      </c>
      <c r="AD13" s="20" t="n">
        <f aca="false">AD5-AD9</f>
        <v>36346080</v>
      </c>
      <c r="AE13" s="20" t="n">
        <f aca="false">AE5-AE9</f>
        <v>36105587</v>
      </c>
      <c r="AF13" s="20" t="n">
        <f aca="false">AF5-AF9</f>
        <v>40426597</v>
      </c>
      <c r="AG13" s="20" t="n">
        <f aca="false">AG5-AG9</f>
        <v>43709604</v>
      </c>
      <c r="AH13" s="20" t="n">
        <f aca="false">AH5-AH9</f>
        <v>53059645</v>
      </c>
      <c r="AI13" s="20" t="n">
        <f aca="false">AI5-AI9</f>
        <v>70231767</v>
      </c>
      <c r="AJ13" s="20" t="n">
        <f aca="false">AJ5-AJ9</f>
        <v>50332151</v>
      </c>
      <c r="AK13" s="20" t="n">
        <f aca="false">AK5-AK9</f>
        <v>47782144</v>
      </c>
      <c r="AL13" s="20" t="n">
        <f aca="false">AL5-AL9</f>
        <v>53275513</v>
      </c>
      <c r="AM13" s="20" t="n">
        <f aca="false">AM5-AM9</f>
        <v>55122771</v>
      </c>
      <c r="AN13" s="20" t="n">
        <f aca="false">AN5-AN9</f>
        <v>62466017</v>
      </c>
      <c r="AO13" s="20" t="n">
        <f aca="false">AO5-AO9</f>
        <v>85015276</v>
      </c>
      <c r="AP13" s="20" t="n">
        <f aca="false">AP5-AP9</f>
        <v>29611406</v>
      </c>
      <c r="AQ13" s="20" t="n">
        <f aca="false">AQ5-AQ9</f>
        <v>186322086</v>
      </c>
      <c r="AR13" s="20" t="n">
        <f aca="false">AR5-AR9</f>
        <v>518264100</v>
      </c>
      <c r="AS13" s="20" t="n">
        <f aca="false">AS5-AS9</f>
        <v>255879577</v>
      </c>
      <c r="AT13" s="17" t="s">
        <v>217</v>
      </c>
    </row>
    <row r="14" customFormat="false" ht="15" hidden="false" customHeight="false" outlineLevel="0" collapsed="false">
      <c r="A14" s="30" t="s">
        <v>218</v>
      </c>
      <c r="B14" s="10"/>
      <c r="F14" s="31" t="n">
        <f aca="false">IF(F5=0,0,F13/F5)</f>
        <v>0.967</v>
      </c>
      <c r="G14" s="31" t="n">
        <f aca="false">IF(G5=0,0,G13/G5)</f>
        <v>0.967</v>
      </c>
      <c r="H14" s="31" t="n">
        <f aca="false">IF(H5=0,0,H13/H5)</f>
        <v>0.967</v>
      </c>
      <c r="I14" s="31" t="n">
        <f aca="false">IF(I5=0,0,I13/I5)</f>
        <v>0.967</v>
      </c>
      <c r="J14" s="31" t="n">
        <f aca="false">IF(J5=0,0,J13/J5)</f>
        <v>0.856900199600798</v>
      </c>
      <c r="K14" s="31" t="n">
        <f aca="false">IF(K5=0,0,K13/K5)</f>
        <v>0.817990237099024</v>
      </c>
      <c r="L14" s="31" t="n">
        <f aca="false">IF(L5=0,0,L13/L5)</f>
        <v>0.539249510975875</v>
      </c>
      <c r="M14" s="31" t="n">
        <f aca="false">IF(M5=0,0,M13/M5)</f>
        <v>0.796884729969909</v>
      </c>
      <c r="N14" s="31" t="n">
        <f aca="false">IF(N5=0,0,N13/N5)</f>
        <v>0.765292420897719</v>
      </c>
      <c r="O14" s="31" t="n">
        <f aca="false">IF(O5=0,0,O13/O5)</f>
        <v>0.6921596826374</v>
      </c>
      <c r="P14" s="31" t="n">
        <f aca="false">IF(P5=0,0,P13/P5)</f>
        <v>0.684286933040776</v>
      </c>
      <c r="Q14" s="31" t="n">
        <f aca="false">IF(Q5=0,0,Q13/Q5)</f>
        <v>0.614935426309464</v>
      </c>
      <c r="R14" s="31" t="n">
        <f aca="false">IF(R5=0,0,R13/R5)</f>
        <v>0.673658646192029</v>
      </c>
      <c r="S14" s="31" t="n">
        <f aca="false">IF(S5=0,0,S13/S5)</f>
        <v>0.670198685577999</v>
      </c>
      <c r="T14" s="31" t="n">
        <f aca="false">IF(T5=0,0,T13/T5)</f>
        <v>0.699906978627514</v>
      </c>
      <c r="U14" s="31" t="n">
        <f aca="false">IF(U5=0,0,U13/U5)</f>
        <v>0.698075805736439</v>
      </c>
      <c r="V14" s="31" t="n">
        <f aca="false">IF(V5=0,0,V13/V5)</f>
        <v>0.720301032589832</v>
      </c>
      <c r="W14" s="31" t="n">
        <f aca="false">IF(W5=0,0,W13/W5)</f>
        <v>0.679658305869267</v>
      </c>
      <c r="X14" s="31" t="n">
        <f aca="false">IF(X5=0,0,X13/X5)</f>
        <v>0.71281095944937</v>
      </c>
      <c r="Y14" s="31" t="n">
        <f aca="false">IF(Y5=0,0,Y13/Y5)</f>
        <v>0.709074310459861</v>
      </c>
      <c r="Z14" s="31" t="n">
        <f aca="false">IF(Z5=0,0,Z13/Z5)</f>
        <v>0.716748538350629</v>
      </c>
      <c r="AA14" s="31" t="n">
        <f aca="false">IF(AA5=0,0,AA13/AA5)</f>
        <v>0.708947506620232</v>
      </c>
      <c r="AB14" s="31" t="n">
        <f aca="false">IF(AB5=0,0,AB13/AB5)</f>
        <v>0.732348137653473</v>
      </c>
      <c r="AC14" s="31" t="n">
        <f aca="false">IF(AC5=0,0,AC13/AC5)</f>
        <v>0.713718008334523</v>
      </c>
      <c r="AD14" s="31" t="n">
        <f aca="false">IF(AD5=0,0,AD13/AD5)</f>
        <v>0.731329527836539</v>
      </c>
      <c r="AE14" s="31" t="n">
        <f aca="false">IF(AE5=0,0,AE13/AE5)</f>
        <v>0.73107422752041</v>
      </c>
      <c r="AF14" s="31" t="n">
        <f aca="false">IF(AF5=0,0,AF13/AF5)</f>
        <v>0.744305656076065</v>
      </c>
      <c r="AG14" s="31" t="n">
        <f aca="false">IF(AG5=0,0,AG13/AG5)</f>
        <v>0.73700677406582</v>
      </c>
      <c r="AH14" s="31" t="n">
        <f aca="false">IF(AH5=0,0,AH13/AH5)</f>
        <v>0.749821160238857</v>
      </c>
      <c r="AI14" s="31" t="n">
        <f aca="false">IF(AI5=0,0,AI13/AI5)</f>
        <v>0.73431671024186</v>
      </c>
      <c r="AJ14" s="31" t="n">
        <f aca="false">IF(AJ5=0,0,AJ13/AJ5)</f>
        <v>0.750017050870933</v>
      </c>
      <c r="AK14" s="31" t="n">
        <f aca="false">IF(AK5=0,0,AK13/AK5)</f>
        <v>0.749195662122837</v>
      </c>
      <c r="AL14" s="31" t="n">
        <f aca="false">IF(AL5=0,0,AL13/AL5)</f>
        <v>0.757746243289601</v>
      </c>
      <c r="AM14" s="31" t="n">
        <f aca="false">IF(AM5=0,0,AM13/AM5)</f>
        <v>0.749201196905634</v>
      </c>
      <c r="AN14" s="31" t="n">
        <f aca="false">IF(AN5=0,0,AN13/AN5)</f>
        <v>0.756111765601107</v>
      </c>
      <c r="AO14" s="31" t="n">
        <f aca="false">IF(AO5=0,0,AO13/AO5)</f>
        <v>0.745657444249098</v>
      </c>
      <c r="AP14" s="31" t="n">
        <f aca="false">IF(AP5=0,0,AP13/AP5)</f>
        <v>0.794342628319274</v>
      </c>
      <c r="AQ14" s="31" t="n">
        <f aca="false">IF(AQ5=0,0,AQ13/AQ5)</f>
        <v>0.690277930969453</v>
      </c>
      <c r="AR14" s="31" t="n">
        <f aca="false">IF(AR5=0,0,AR13/AR5)</f>
        <v>0.734771029990737</v>
      </c>
      <c r="AS14" s="31" t="n">
        <f aca="false">IF(AS5=0,0,AS13/AS5)</f>
        <v>0.751455632728289</v>
      </c>
    </row>
    <row r="15" customFormat="false" ht="15" hidden="false" customHeight="false" outlineLevel="0" collapsed="false">
      <c r="A15" s="27" t="s">
        <v>219</v>
      </c>
      <c r="B15" s="10"/>
      <c r="F15" s="31" t="n">
        <f aca="false">IF(F6=0,0,(F6-F10)/F6)</f>
        <v>0</v>
      </c>
      <c r="G15" s="31" t="n">
        <f aca="false">IF(G6=0,0,(G6-G10)/G6)</f>
        <v>0</v>
      </c>
      <c r="H15" s="31" t="n">
        <f aca="false">IF(H6=0,0,(H6-H10)/H6)</f>
        <v>0</v>
      </c>
      <c r="I15" s="31" t="n">
        <f aca="false">IF(I6=0,0,(I6-I10)/I6)</f>
        <v>0</v>
      </c>
      <c r="J15" s="31" t="n">
        <f aca="false">IF(J6=0,0,(J6-J10)/J6)</f>
        <v>0.286012345679012</v>
      </c>
      <c r="K15" s="31" t="n">
        <f aca="false">IF(K6=0,0,(K6-K10)/K6)</f>
        <v>0.525191721132898</v>
      </c>
      <c r="L15" s="31" t="n">
        <f aca="false">IF(L6=0,0,(L6-L10)/L6)</f>
        <v>0.575425259792166</v>
      </c>
      <c r="M15" s="31" t="n">
        <f aca="false">IF(M6=0,0,(M6-M10)/M6)</f>
        <v>0.596464769647697</v>
      </c>
      <c r="N15" s="31" t="n">
        <f aca="false">IF(N6=0,0,(N6-N10)/N6)</f>
        <v>0.608672418300654</v>
      </c>
      <c r="O15" s="31" t="n">
        <f aca="false">IF(O6=0,0,(O6-O10)/O6)</f>
        <v>0.621006378623234</v>
      </c>
      <c r="P15" s="31" t="n">
        <f aca="false">IF(P6=0,0,(P6-P10)/P6)</f>
        <v>0.676880957478733</v>
      </c>
      <c r="Q15" s="31" t="n">
        <f aca="false">IF(Q6=0,0,(Q6-Q10)/Q6)</f>
        <v>0.682853999316819</v>
      </c>
      <c r="R15" s="31" t="n">
        <f aca="false">IF(R6=0,0,(R6-R10)/R6)</f>
        <v>0.691736835970219</v>
      </c>
      <c r="S15" s="31" t="n">
        <f aca="false">IF(S6=0,0,(S6-S10)/S6)</f>
        <v>0.692568124876479</v>
      </c>
      <c r="T15" s="31" t="n">
        <f aca="false">IF(T6=0,0,(T6-T10)/T6)</f>
        <v>0.692979945637896</v>
      </c>
      <c r="U15" s="31" t="n">
        <f aca="false">IF(U6=0,0,(U6-U10)/U6)</f>
        <v>0.692197672219758</v>
      </c>
      <c r="V15" s="31" t="n">
        <f aca="false">IF(V6=0,0,(V6-V10)/V6)</f>
        <v>0.712268992038448</v>
      </c>
      <c r="W15" s="31" t="n">
        <f aca="false">IF(W6=0,0,(W6-W10)/W6)</f>
        <v>0.716431888049939</v>
      </c>
      <c r="X15" s="31" t="n">
        <f aca="false">IF(X6=0,0,(X6-X10)/X6)</f>
        <v>0.721641358969326</v>
      </c>
      <c r="Y15" s="31" t="n">
        <f aca="false">IF(Y6=0,0,(Y6-Y10)/Y6)</f>
        <v>0.725226261319437</v>
      </c>
      <c r="Z15" s="31" t="n">
        <f aca="false">IF(Z6=0,0,(Z6-Z10)/Z6)</f>
        <v>0.722100464614152</v>
      </c>
      <c r="AA15" s="31" t="n">
        <f aca="false">IF(AA6=0,0,(AA6-AA10)/AA6)</f>
        <v>0.719205017886219</v>
      </c>
      <c r="AB15" s="31" t="n">
        <f aca="false">IF(AB6=0,0,(AB6-AB10)/AB6)</f>
        <v>0.740307741520791</v>
      </c>
      <c r="AC15" s="31" t="n">
        <f aca="false">IF(AC6=0,0,(AC6-AC10)/AC6)</f>
        <v>0.742130177639929</v>
      </c>
      <c r="AD15" s="31" t="n">
        <f aca="false">IF(AD6=0,0,(AD6-AD10)/AD6)</f>
        <v>0.746616475062364</v>
      </c>
      <c r="AE15" s="31" t="n">
        <f aca="false">IF(AE6=0,0,(AE6-AE10)/AE6)</f>
        <v>0.748525544330348</v>
      </c>
      <c r="AF15" s="31" t="n">
        <f aca="false">IF(AF6=0,0,(AF6-AF10)/AF6)</f>
        <v>0.747217964043638</v>
      </c>
      <c r="AG15" s="31" t="n">
        <f aca="false">IF(AG6=0,0,(AG6-AG10)/AG6)</f>
        <v>0.742443706746477</v>
      </c>
      <c r="AH15" s="31" t="n">
        <f aca="false">IF(AH6=0,0,(AH6-AH10)/AH6)</f>
        <v>0.754243249445076</v>
      </c>
      <c r="AI15" s="31" t="n">
        <f aca="false">IF(AI6=0,0,(AI6-AI10)/AI6)</f>
        <v>0.757101530967146</v>
      </c>
      <c r="AJ15" s="31" t="n">
        <f aca="false">IF(AJ6=0,0,(AJ6-AJ10)/AJ6)</f>
        <v>0.761419937019435</v>
      </c>
      <c r="AK15" s="31" t="n">
        <f aca="false">IF(AK6=0,0,(AK6-AK10)/AK6)</f>
        <v>0.764622400094073</v>
      </c>
      <c r="AL15" s="31" t="n">
        <f aca="false">IF(AL6=0,0,(AL6-AL10)/AL6)</f>
        <v>0.761738232614367</v>
      </c>
      <c r="AM15" s="31" t="n">
        <f aca="false">IF(AM6=0,0,(AM6-AM10)/AM6)</f>
        <v>0.758190039886687</v>
      </c>
      <c r="AN15" s="31" t="n">
        <f aca="false">IF(AN6=0,0,(AN6-AN10)/AN6)</f>
        <v>0.764063540855822</v>
      </c>
      <c r="AO15" s="31" t="n">
        <f aca="false">IF(AO6=0,0,(AO6-AO10)/AO6)</f>
        <v>0.765898858955053</v>
      </c>
      <c r="AP15" s="31" t="n">
        <f aca="false">IF(AP6=0,0,(AP6-AP10)/AP6)</f>
        <v>0.542765432098765</v>
      </c>
      <c r="AQ15" s="31" t="n">
        <f aca="false">IF(AQ6=0,0,(AQ6-AQ10)/AQ6)</f>
        <v>0.70114972083041</v>
      </c>
      <c r="AR15" s="31" t="n">
        <f aca="false">IF(AR6=0,0,(AR6-AR10)/AR6)</f>
        <v>0.748252552863008</v>
      </c>
      <c r="AS15" s="31" t="n">
        <f aca="false">IF(AS6=0,0,(AS6-AS10)/AS6)</f>
        <v>0.762624788576242</v>
      </c>
    </row>
    <row r="16" customFormat="false" ht="15" hidden="false" customHeight="false" outlineLevel="0" collapsed="false">
      <c r="A16" s="27" t="s">
        <v>220</v>
      </c>
      <c r="B16" s="10"/>
      <c r="F16" s="31" t="n">
        <f aca="false">IF(F7=0,0,(F7-F11)/F7)</f>
        <v>0</v>
      </c>
      <c r="G16" s="31" t="n">
        <f aca="false">IF(G7=0,0,(G7-G11)/G7)</f>
        <v>0</v>
      </c>
      <c r="H16" s="31" t="n">
        <f aca="false">IF(H7=0,0,(H7-H11)/H7)</f>
        <v>0</v>
      </c>
      <c r="I16" s="31" t="n">
        <f aca="false">IF(I7=0,0,(I7-I11)/I7)</f>
        <v>0</v>
      </c>
      <c r="J16" s="31" t="n">
        <f aca="false">IF(J7=0,0,(J7-J11)/J7)</f>
        <v>0</v>
      </c>
      <c r="K16" s="31" t="n">
        <f aca="false">IF(K7=0,0,(K7-K11)/K7)</f>
        <v>0</v>
      </c>
      <c r="L16" s="31" t="n">
        <f aca="false">IF(L7=0,0,(L7-L11)/L7)</f>
        <v>0</v>
      </c>
      <c r="M16" s="31" t="n">
        <f aca="false">IF(M7=0,0,(M7-M11)/M7)</f>
        <v>0</v>
      </c>
      <c r="N16" s="31" t="n">
        <f aca="false">IF(N7=0,0,(N7-N11)/N7)</f>
        <v>0</v>
      </c>
      <c r="O16" s="31" t="n">
        <f aca="false">IF(O7=0,0,(O7-O11)/O7)</f>
        <v>0</v>
      </c>
      <c r="P16" s="31" t="n">
        <f aca="false">IF(P7=0,0,(P7-P11)/P7)</f>
        <v>-0.72</v>
      </c>
      <c r="Q16" s="31" t="n">
        <f aca="false">IF(Q7=0,0,(Q7-Q11)/Q7)</f>
        <v>-0.7825</v>
      </c>
      <c r="R16" s="31" t="n">
        <f aca="false">IF(R7=0,0,(R7-R11)/R7)</f>
        <v>-0.320075999489079</v>
      </c>
      <c r="S16" s="31" t="n">
        <f aca="false">IF(S7=0,0,(S7-S11)/S7)</f>
        <v>-0.312910471576193</v>
      </c>
      <c r="T16" s="31" t="n">
        <f aca="false">IF(T7=0,0,(T7-T11)/T7)</f>
        <v>-0.0739542851210354</v>
      </c>
      <c r="U16" s="31" t="n">
        <f aca="false">IF(U7=0,0,(U7-U11)/U7)</f>
        <v>0.220798373163058</v>
      </c>
      <c r="V16" s="31" t="n">
        <f aca="false">IF(V7=0,0,(V7-V11)/V7)</f>
        <v>0.390684202260544</v>
      </c>
      <c r="W16" s="31" t="n">
        <f aca="false">IF(W7=0,0,(W7-W11)/W7)</f>
        <v>0.348733823499984</v>
      </c>
      <c r="X16" s="31" t="n">
        <f aca="false">IF(X7=0,0,(X7-X11)/X7)</f>
        <v>0.26938004463608</v>
      </c>
      <c r="Y16" s="31" t="n">
        <f aca="false">IF(Y7=0,0,(Y7-Y11)/Y7)</f>
        <v>0.198315598606671</v>
      </c>
      <c r="Z16" s="31" t="n">
        <f aca="false">IF(Z7=0,0,(Z7-Z11)/Z7)</f>
        <v>0.196024166143114</v>
      </c>
      <c r="AA16" s="31" t="n">
        <f aca="false">IF(AA7=0,0,(AA7-AA11)/AA7)</f>
        <v>0.331387590907974</v>
      </c>
      <c r="AB16" s="31" t="n">
        <f aca="false">IF(AB7=0,0,(AB7-AB11)/AB7)</f>
        <v>0.450870663090938</v>
      </c>
      <c r="AC16" s="31" t="n">
        <f aca="false">IF(AC7=0,0,(AC7-AC11)/AC7)</f>
        <v>0.413857444759805</v>
      </c>
      <c r="AD16" s="31" t="n">
        <f aca="false">IF(AD7=0,0,(AD7-AD11)/AD7)</f>
        <v>0.311883513252864</v>
      </c>
      <c r="AE16" s="31" t="n">
        <f aca="false">IF(AE7=0,0,(AE7-AE11)/AE7)</f>
        <v>0.27937828548107</v>
      </c>
      <c r="AF16" s="31" t="n">
        <f aca="false">IF(AF7=0,0,(AF7-AF11)/AF7)</f>
        <v>0.361307407154297</v>
      </c>
      <c r="AG16" s="31" t="n">
        <f aca="false">IF(AG7=0,0,(AG7-AG11)/AG7)</f>
        <v>0.488198600836993</v>
      </c>
      <c r="AH16" s="31" t="n">
        <f aca="false">IF(AH7=0,0,(AH7-AH11)/AH7)</f>
        <v>0.563674006143908</v>
      </c>
      <c r="AI16" s="31" t="n">
        <f aca="false">IF(AI7=0,0,(AI7-AI11)/AI7)</f>
        <v>0.519916563183456</v>
      </c>
      <c r="AJ16" s="31" t="n">
        <f aca="false">IF(AJ7=0,0,(AJ7-AJ11)/AJ7)</f>
        <v>0.445865996338019</v>
      </c>
      <c r="AK16" s="31" t="n">
        <f aca="false">IF(AK7=0,0,(AK7-AK11)/AK7)</f>
        <v>0.368253547107673</v>
      </c>
      <c r="AL16" s="31" t="n">
        <f aca="false">IF(AL7=0,0,(AL7-AL11)/AL7)</f>
        <v>0.436081306015487</v>
      </c>
      <c r="AM16" s="31" t="n">
        <f aca="false">IF(AM7=0,0,(AM7-AM11)/AM7)</f>
        <v>0.511082881792831</v>
      </c>
      <c r="AN16" s="31" t="n">
        <f aca="false">IF(AN7=0,0,(AN7-AN11)/AN7)</f>
        <v>0.579792699713709</v>
      </c>
      <c r="AO16" s="31" t="n">
        <f aca="false">IF(AO7=0,0,(AO7-AO11)/AO7)</f>
        <v>0.550469620113184</v>
      </c>
      <c r="AP16" s="31" t="n">
        <f aca="false">IF(AP7=0,0,(AP7-AP11)/AP7)</f>
        <v>0</v>
      </c>
      <c r="AQ16" s="31" t="n">
        <f aca="false">IF(AQ7=0,0,(AQ7-AQ11)/AQ7)</f>
        <v>0.0593362024924288</v>
      </c>
      <c r="AR16" s="31" t="n">
        <f aca="false">IF(AR7=0,0,(AR7-AR11)/AR7)</f>
        <v>0.420681957868988</v>
      </c>
      <c r="AS16" s="31" t="n">
        <f aca="false">IF(AS7=0,0,(AS7-AS11)/AS7)</f>
        <v>0.5289308354893</v>
      </c>
    </row>
    <row r="17" customFormat="false" ht="15" hidden="false" customHeight="false" outlineLevel="0" collapsed="false">
      <c r="A17" s="27" t="s">
        <v>221</v>
      </c>
      <c r="B17" s="10"/>
      <c r="F17" s="31" t="n">
        <f aca="false">IF(F8=0,0,(F8-F12)/F8)</f>
        <v>0.967</v>
      </c>
      <c r="G17" s="31" t="n">
        <f aca="false">IF(G8=0,0,(G8-G12)/G8)</f>
        <v>0.967</v>
      </c>
      <c r="H17" s="31" t="n">
        <f aca="false">IF(H8=0,0,(H8-H12)/H8)</f>
        <v>0.967</v>
      </c>
      <c r="I17" s="31" t="n">
        <f aca="false">IF(I8=0,0,(I8-I12)/I8)</f>
        <v>0.967</v>
      </c>
      <c r="J17" s="31" t="n">
        <f aca="false">IF(J8=0,0,(J8-J12)/J8)</f>
        <v>0.967</v>
      </c>
      <c r="K17" s="31" t="n">
        <f aca="false">IF(K8=0,0,(K8-K12)/K8)</f>
        <v>0.955830769230769</v>
      </c>
      <c r="L17" s="31" t="n">
        <f aca="false">IF(L8=0,0,(L8-L12)/L8)</f>
        <v>0.525740298507463</v>
      </c>
      <c r="M17" s="31" t="n">
        <f aca="false">IF(M8=0,0,(M8-M12)/M8)</f>
        <v>0.966999973547073</v>
      </c>
      <c r="N17" s="31" t="n">
        <f aca="false">IF(N8=0,0,(N8-N12)/N8)</f>
        <v>0.967</v>
      </c>
      <c r="O17" s="31" t="n">
        <f aca="false">IF(O8=0,0,(O8-O12)/O8)</f>
        <v>0.966999972724545</v>
      </c>
      <c r="P17" s="31" t="n">
        <f aca="false">IF(P8=0,0,(P8-P12)/P8)</f>
        <v>0.949494808038088</v>
      </c>
      <c r="Q17" s="31" t="n">
        <f aca="false">IF(Q8=0,0,(Q8-Q12)/Q8)</f>
        <v>0.643031293642187</v>
      </c>
      <c r="R17" s="31" t="n">
        <f aca="false">IF(R8=0,0,(R8-R12)/R8)</f>
        <v>0.966999871222166</v>
      </c>
      <c r="S17" s="31" t="n">
        <f aca="false">IF(S8=0,0,(S8-S12)/S8)</f>
        <v>0.96700000396444</v>
      </c>
      <c r="T17" s="31" t="n">
        <f aca="false">IF(T8=0,0,(T8-T12)/T8)</f>
        <v>0.976369126777454</v>
      </c>
      <c r="U17" s="31" t="n">
        <f aca="false">IF(U8=0,0,(U8-U12)/U8)</f>
        <v>0.966999917091729</v>
      </c>
      <c r="V17" s="31" t="n">
        <f aca="false">IF(V8=0,0,(V8-V12)/V8)</f>
        <v>0.943728159389837</v>
      </c>
      <c r="W17" s="31" t="n">
        <f aca="false">IF(W8=0,0,(W8-W12)/W8)</f>
        <v>0.681087746103959</v>
      </c>
      <c r="X17" s="31" t="n">
        <f aca="false">IF(X8=0,0,(X8-X12)/X8)</f>
        <v>0.96700000731545</v>
      </c>
      <c r="Y17" s="31" t="n">
        <f aca="false">IF(Y8=0,0,(Y8-Y12)/Y8)</f>
        <v>0.967000155983601</v>
      </c>
      <c r="Z17" s="31" t="n">
        <f aca="false">IF(Z8=0,0,(Z8-Z12)/Z8)</f>
        <v>0.97833094942384</v>
      </c>
      <c r="AA17" s="31" t="n">
        <f aca="false">IF(AA8=0,0,(AA8-AA12)/AA8)</f>
        <v>0.967000050105549</v>
      </c>
      <c r="AB17" s="31" t="n">
        <f aca="false">IF(AB8=0,0,(AB8-AB12)/AB8)</f>
        <v>0.933444256747532</v>
      </c>
      <c r="AC17" s="31" t="n">
        <f aca="false">IF(AC8=0,0,(AC8-AC12)/AC8)</f>
        <v>0.71870992087509</v>
      </c>
      <c r="AD17" s="31" t="n">
        <f aca="false">IF(AD8=0,0,(AD8-AD12)/AD8)</f>
        <v>0.967000128353892</v>
      </c>
      <c r="AE17" s="31" t="n">
        <f aca="false">IF(AE8=0,0,(AE8-AE12)/AE8)</f>
        <v>0.966999875902109</v>
      </c>
      <c r="AF17" s="31" t="n">
        <f aca="false">IF(AF8=0,0,(AF8-AF12)/AF8)</f>
        <v>0.979796151972975</v>
      </c>
      <c r="AG17" s="31" t="n">
        <f aca="false">IF(AG8=0,0,(AG8-AG12)/AG8)</f>
        <v>0.966999929558491</v>
      </c>
      <c r="AH17" s="31" t="n">
        <f aca="false">IF(AH8=0,0,(AH8-AH12)/AH8)</f>
        <v>0.930940053884632</v>
      </c>
      <c r="AI17" s="31" t="n">
        <f aca="false">IF(AI8=0,0,(AI8-AI12)/AI8)</f>
        <v>0.732674823040433</v>
      </c>
      <c r="AJ17" s="31" t="n">
        <f aca="false">IF(AJ8=0,0,(AJ8-AJ12)/AJ8)</f>
        <v>0.96699989125748</v>
      </c>
      <c r="AK17" s="31" t="n">
        <f aca="false">IF(AK8=0,0,(AK8-AK12)/AK8)</f>
        <v>0.966999845388177</v>
      </c>
      <c r="AL17" s="31" t="n">
        <f aca="false">IF(AL8=0,0,(AL8-AL12)/AL8)</f>
        <v>0.980916291577265</v>
      </c>
      <c r="AM17" s="31" t="n">
        <f aca="false">IF(AM8=0,0,(AM8-AM12)/AM8)</f>
        <v>0.966999897749369</v>
      </c>
      <c r="AN17" s="31" t="n">
        <f aca="false">IF(AN8=0,0,(AN8-AN12)/AN8)</f>
        <v>0.921118253019176</v>
      </c>
      <c r="AO17" s="31" t="n">
        <f aca="false">IF(AO8=0,0,(AO8-AO12)/AO8)</f>
        <v>0.747563395924354</v>
      </c>
      <c r="AP17" s="31" t="n">
        <f aca="false">IF(AP8=0,0,(AP8-AP12)/AP8)</f>
        <v>0.864182368860571</v>
      </c>
      <c r="AQ17" s="31" t="n">
        <f aca="false">IF(AQ8=0,0,(AQ8-AQ12)/AQ8)</f>
        <v>0.825625846143042</v>
      </c>
      <c r="AR17" s="31" t="n">
        <f aca="false">IF(AR8=0,0,(AR8-AR12)/AR8)</f>
        <v>0.831718064882624</v>
      </c>
      <c r="AS17" s="31" t="n">
        <f aca="false">IF(AS8=0,0,(AS8-AS12)/AS8)</f>
        <v>0.814965567690186</v>
      </c>
    </row>
    <row r="18" customFormat="false" ht="15" hidden="false" customHeight="false" outlineLevel="0" collapsed="false">
      <c r="A18" s="3" t="s">
        <v>141</v>
      </c>
      <c r="B18" s="10"/>
      <c r="F18" s="28" t="n">
        <f aca="false">'판관비(SG&amp;A)'!F38</f>
        <v>8543549</v>
      </c>
      <c r="G18" s="28" t="n">
        <f aca="false">'판관비(SG&amp;A)'!G38</f>
        <v>11270360</v>
      </c>
      <c r="H18" s="28" t="n">
        <f aca="false">'판관비(SG&amp;A)'!H38</f>
        <v>11270360</v>
      </c>
      <c r="I18" s="28" t="n">
        <f aca="false">'판관비(SG&amp;A)'!I38</f>
        <v>9275652</v>
      </c>
      <c r="J18" s="28" t="n">
        <f aca="false">'판관비(SG&amp;A)'!J38</f>
        <v>9616549</v>
      </c>
      <c r="K18" s="28" t="n">
        <f aca="false">'판관비(SG&amp;A)'!K38</f>
        <v>9270078</v>
      </c>
      <c r="L18" s="28" t="n">
        <f aca="false">'판관비(SG&amp;A)'!L38</f>
        <v>8398313</v>
      </c>
      <c r="M18" s="28" t="n">
        <f aca="false">'판관비(SG&amp;A)'!M38</f>
        <v>8257385</v>
      </c>
      <c r="N18" s="28" t="n">
        <f aca="false">'판관비(SG&amp;A)'!N38</f>
        <v>20222400</v>
      </c>
      <c r="O18" s="28" t="n">
        <f aca="false">'판관비(SG&amp;A)'!O38</f>
        <v>23385733</v>
      </c>
      <c r="P18" s="28" t="n">
        <f aca="false">'판관비(SG&amp;A)'!P38</f>
        <v>25316733</v>
      </c>
      <c r="Q18" s="28" t="n">
        <f aca="false">'판관비(SG&amp;A)'!Q38</f>
        <v>35404626</v>
      </c>
      <c r="R18" s="28" t="n">
        <f aca="false">'판관비(SG&amp;A)'!R38</f>
        <v>31172606</v>
      </c>
      <c r="S18" s="28" t="n">
        <f aca="false">'판관비(SG&amp;A)'!S38</f>
        <v>31113355</v>
      </c>
      <c r="T18" s="28" t="n">
        <f aca="false">'판관비(SG&amp;A)'!T38</f>
        <v>36691204</v>
      </c>
      <c r="U18" s="28" t="n">
        <f aca="false">'판관비(SG&amp;A)'!U38</f>
        <v>39218836</v>
      </c>
      <c r="V18" s="28" t="n">
        <f aca="false">'판관비(SG&amp;A)'!V38</f>
        <v>41292877</v>
      </c>
      <c r="W18" s="28" t="n">
        <f aca="false">'판관비(SG&amp;A)'!W38</f>
        <v>38372571</v>
      </c>
      <c r="X18" s="28" t="n">
        <f aca="false">'판관비(SG&amp;A)'!X38</f>
        <v>39434458</v>
      </c>
      <c r="Y18" s="28" t="n">
        <f aca="false">'판관비(SG&amp;A)'!Y38</f>
        <v>39175425</v>
      </c>
      <c r="Z18" s="28" t="n">
        <f aca="false">'판관비(SG&amp;A)'!Z38</f>
        <v>46590643</v>
      </c>
      <c r="AA18" s="28" t="n">
        <f aca="false">'판관비(SG&amp;A)'!AA38</f>
        <v>50386468</v>
      </c>
      <c r="AB18" s="28" t="n">
        <f aca="false">'판관비(SG&amp;A)'!AB38</f>
        <v>58783579</v>
      </c>
      <c r="AC18" s="28" t="n">
        <f aca="false">'판관비(SG&amp;A)'!AC38</f>
        <v>53611466</v>
      </c>
      <c r="AD18" s="28" t="n">
        <f aca="false">'판관비(SG&amp;A)'!AD38</f>
        <v>51936542</v>
      </c>
      <c r="AE18" s="28" t="n">
        <f aca="false">'판관비(SG&amp;A)'!AE38</f>
        <v>55797937</v>
      </c>
      <c r="AF18" s="28" t="n">
        <f aca="false">'판관비(SG&amp;A)'!AF38</f>
        <v>56505298</v>
      </c>
      <c r="AG18" s="28" t="n">
        <f aca="false">'판관비(SG&amp;A)'!AG38</f>
        <v>60174996</v>
      </c>
      <c r="AH18" s="28" t="n">
        <f aca="false">'판관비(SG&amp;A)'!AH38</f>
        <v>71437481</v>
      </c>
      <c r="AI18" s="28" t="n">
        <f aca="false">'판관비(SG&amp;A)'!AI38</f>
        <v>65707080</v>
      </c>
      <c r="AJ18" s="28" t="n">
        <f aca="false">'판관비(SG&amp;A)'!AJ38</f>
        <v>63721102</v>
      </c>
      <c r="AK18" s="28" t="n">
        <f aca="false">'판관비(SG&amp;A)'!AK38</f>
        <v>62594800</v>
      </c>
      <c r="AL18" s="28" t="n">
        <f aca="false">'판관비(SG&amp;A)'!AL38</f>
        <v>66899740</v>
      </c>
      <c r="AM18" s="28" t="n">
        <f aca="false">'판관비(SG&amp;A)'!AM38</f>
        <v>71840377</v>
      </c>
      <c r="AN18" s="28" t="n">
        <f aca="false">'판관비(SG&amp;A)'!AN38</f>
        <v>76003520</v>
      </c>
      <c r="AO18" s="28" t="n">
        <f aca="false">'판관비(SG&amp;A)'!AO38</f>
        <v>69969646</v>
      </c>
      <c r="AP18" s="28" t="n">
        <f aca="false">'판관비(SG&amp;A)'!AP38</f>
        <v>75902246</v>
      </c>
      <c r="AQ18" s="28" t="n">
        <f aca="false">'판관비(SG&amp;A)'!AQ38</f>
        <v>400800824</v>
      </c>
      <c r="AR18" s="28" t="n">
        <f aca="false">'판관비(SG&amp;A)'!AR38</f>
        <v>697247392</v>
      </c>
      <c r="AS18" s="28" t="n">
        <f aca="false">'판관비(SG&amp;A)'!AS38</f>
        <v>284713283</v>
      </c>
      <c r="AT18" s="17" t="s">
        <v>222</v>
      </c>
    </row>
    <row r="19" customFormat="false" ht="15" hidden="false" customHeight="false" outlineLevel="0" collapsed="false">
      <c r="A19" s="27" t="s">
        <v>223</v>
      </c>
      <c r="B19" s="10"/>
      <c r="F19" s="8" t="n">
        <f aca="false">'판관비(SG&amp;A)'!F33</f>
        <v>0</v>
      </c>
      <c r="G19" s="8" t="n">
        <f aca="false">'판관비(SG&amp;A)'!G33</f>
        <v>3310693</v>
      </c>
      <c r="H19" s="8" t="n">
        <f aca="false">'판관비(SG&amp;A)'!H33</f>
        <v>3310693</v>
      </c>
      <c r="I19" s="8" t="n">
        <f aca="false">'판관비(SG&amp;A)'!I33</f>
        <v>3310693</v>
      </c>
      <c r="J19" s="8" t="n">
        <f aca="false">'판관비(SG&amp;A)'!J33</f>
        <v>5153645</v>
      </c>
      <c r="K19" s="8" t="n">
        <f aca="false">'판관비(SG&amp;A)'!K33</f>
        <v>5153645</v>
      </c>
      <c r="L19" s="8" t="n">
        <f aca="false">'판관비(SG&amp;A)'!L33</f>
        <v>5153645</v>
      </c>
      <c r="M19" s="8" t="n">
        <f aca="false">'판관비(SG&amp;A)'!M33</f>
        <v>5153638</v>
      </c>
      <c r="N19" s="8" t="n">
        <f aca="false">'판관비(SG&amp;A)'!N33</f>
        <v>13508400</v>
      </c>
      <c r="O19" s="8" t="n">
        <f aca="false">'판관비(SG&amp;A)'!O33</f>
        <v>14108400</v>
      </c>
      <c r="P19" s="8" t="n">
        <f aca="false">'판관비(SG&amp;A)'!P33</f>
        <v>13508400</v>
      </c>
      <c r="Q19" s="8" t="n">
        <f aca="false">'판관비(SG&amp;A)'!Q33</f>
        <v>23695333</v>
      </c>
      <c r="R19" s="8" t="n">
        <f aca="false">'판관비(SG&amp;A)'!R33</f>
        <v>23695333</v>
      </c>
      <c r="S19" s="8" t="n">
        <f aca="false">'판관비(SG&amp;A)'!S33</f>
        <v>23695333</v>
      </c>
      <c r="T19" s="8" t="n">
        <f aca="false">'판관비(SG&amp;A)'!T33</f>
        <v>28670667</v>
      </c>
      <c r="U19" s="8" t="n">
        <f aca="false">'판관비(SG&amp;A)'!U33</f>
        <v>28670667</v>
      </c>
      <c r="V19" s="8" t="n">
        <f aca="false">'판관비(SG&amp;A)'!V33</f>
        <v>29870667</v>
      </c>
      <c r="W19" s="8" t="n">
        <f aca="false">'판관비(SG&amp;A)'!W33</f>
        <v>28670667</v>
      </c>
      <c r="X19" s="8" t="n">
        <f aca="false">'판관비(SG&amp;A)'!X33</f>
        <v>28670667</v>
      </c>
      <c r="Y19" s="8" t="n">
        <f aca="false">'판관비(SG&amp;A)'!Y33</f>
        <v>28670667</v>
      </c>
      <c r="Z19" s="8" t="n">
        <f aca="false">'판관비(SG&amp;A)'!Z33</f>
        <v>30029200</v>
      </c>
      <c r="AA19" s="8" t="n">
        <f aca="false">'판관비(SG&amp;A)'!AA33</f>
        <v>31229200</v>
      </c>
      <c r="AB19" s="8" t="n">
        <f aca="false">'판관비(SG&amp;A)'!AB33</f>
        <v>34744640</v>
      </c>
      <c r="AC19" s="8" t="n">
        <f aca="false">'판관비(SG&amp;A)'!AC33</f>
        <v>34744640</v>
      </c>
      <c r="AD19" s="8" t="n">
        <f aca="false">'판관비(SG&amp;A)'!AD33</f>
        <v>34744640</v>
      </c>
      <c r="AE19" s="8" t="n">
        <f aca="false">'판관비(SG&amp;A)'!AE33</f>
        <v>38963920</v>
      </c>
      <c r="AF19" s="8" t="n">
        <f aca="false">'판관비(SG&amp;A)'!AF33</f>
        <v>38963920</v>
      </c>
      <c r="AG19" s="8" t="n">
        <f aca="false">'판관비(SG&amp;A)'!AG33</f>
        <v>38963920</v>
      </c>
      <c r="AH19" s="8" t="n">
        <f aca="false">'판관비(SG&amp;A)'!AH33</f>
        <v>47215920</v>
      </c>
      <c r="AI19" s="8" t="n">
        <f aca="false">'판관비(SG&amp;A)'!AI33</f>
        <v>45415920</v>
      </c>
      <c r="AJ19" s="8" t="n">
        <f aca="false">'판관비(SG&amp;A)'!AJ33</f>
        <v>45415920</v>
      </c>
      <c r="AK19" s="8" t="n">
        <f aca="false">'판관비(SG&amp;A)'!AK33</f>
        <v>45415920</v>
      </c>
      <c r="AL19" s="8" t="n">
        <f aca="false">'판관비(SG&amp;A)'!AL33</f>
        <v>47574216</v>
      </c>
      <c r="AM19" s="8" t="n">
        <f aca="false">'판관비(SG&amp;A)'!AM33</f>
        <v>49374216</v>
      </c>
      <c r="AN19" s="8" t="n">
        <f aca="false">'판관비(SG&amp;A)'!AN33</f>
        <v>47574216</v>
      </c>
      <c r="AO19" s="8" t="n">
        <f aca="false">'판관비(SG&amp;A)'!AO33</f>
        <v>47574216</v>
      </c>
      <c r="AP19" s="8" t="n">
        <f aca="false">'판관비(SG&amp;A)'!AP33</f>
        <v>30546652</v>
      </c>
      <c r="AQ19" s="8" t="n">
        <f aca="false">'판관비(SG&amp;A)'!AQ33</f>
        <v>285435201</v>
      </c>
      <c r="AR19" s="8" t="n">
        <f aca="false">'판관비(SG&amp;A)'!AR33</f>
        <v>465847760</v>
      </c>
      <c r="AS19" s="8" t="n">
        <f aca="false">'판관비(SG&amp;A)'!AS33</f>
        <v>192096864</v>
      </c>
    </row>
    <row r="20" customFormat="false" ht="15" hidden="false" customHeight="false" outlineLevel="0" collapsed="false">
      <c r="A20" s="27" t="s">
        <v>224</v>
      </c>
      <c r="B20" s="10"/>
      <c r="F20" s="8" t="n">
        <f aca="false">'판관비(SG&amp;A)'!F34</f>
        <v>0</v>
      </c>
      <c r="G20" s="8" t="n">
        <f aca="false">'판관비(SG&amp;A)'!G34</f>
        <v>0</v>
      </c>
      <c r="H20" s="8" t="n">
        <f aca="false">'판관비(SG&amp;A)'!H34</f>
        <v>0</v>
      </c>
      <c r="I20" s="8" t="n">
        <f aca="false">'판관비(SG&amp;A)'!I34</f>
        <v>0</v>
      </c>
      <c r="J20" s="8" t="n">
        <f aca="false">'판관비(SG&amp;A)'!J34</f>
        <v>0</v>
      </c>
      <c r="K20" s="8" t="n">
        <f aca="false">'판관비(SG&amp;A)'!K34</f>
        <v>0</v>
      </c>
      <c r="L20" s="8" t="n">
        <f aca="false">'판관비(SG&amp;A)'!L34</f>
        <v>0</v>
      </c>
      <c r="M20" s="8" t="n">
        <f aca="false">'판관비(SG&amp;A)'!M34</f>
        <v>0</v>
      </c>
      <c r="N20" s="8" t="n">
        <f aca="false">'판관비(SG&amp;A)'!N34</f>
        <v>0</v>
      </c>
      <c r="O20" s="8" t="n">
        <f aca="false">'판관비(SG&amp;A)'!O34</f>
        <v>83333</v>
      </c>
      <c r="P20" s="8" t="n">
        <f aca="false">'판관비(SG&amp;A)'!P34</f>
        <v>108333</v>
      </c>
      <c r="Q20" s="8" t="n">
        <f aca="false">'판관비(SG&amp;A)'!Q34</f>
        <v>108333</v>
      </c>
      <c r="R20" s="8" t="n">
        <f aca="false">'판관비(SG&amp;A)'!R34</f>
        <v>181667</v>
      </c>
      <c r="S20" s="8" t="n">
        <f aca="false">'판관비(SG&amp;A)'!S34</f>
        <v>181667</v>
      </c>
      <c r="T20" s="8" t="n">
        <f aca="false">'판관비(SG&amp;A)'!T34</f>
        <v>181667</v>
      </c>
      <c r="U20" s="8" t="n">
        <f aca="false">'판관비(SG&amp;A)'!U34</f>
        <v>218333</v>
      </c>
      <c r="V20" s="8" t="n">
        <f aca="false">'판관비(SG&amp;A)'!V34</f>
        <v>218333</v>
      </c>
      <c r="W20" s="8" t="n">
        <f aca="false">'판관비(SG&amp;A)'!W34</f>
        <v>218333</v>
      </c>
      <c r="X20" s="8" t="n">
        <f aca="false">'판관비(SG&amp;A)'!X34</f>
        <v>218333</v>
      </c>
      <c r="Y20" s="8" t="n">
        <f aca="false">'판관비(SG&amp;A)'!Y34</f>
        <v>218333</v>
      </c>
      <c r="Z20" s="8" t="n">
        <f aca="false">'판관비(SG&amp;A)'!Z34</f>
        <v>368333</v>
      </c>
      <c r="AA20" s="8" t="n">
        <f aca="false">'판관비(SG&amp;A)'!AA34</f>
        <v>368333</v>
      </c>
      <c r="AB20" s="8" t="n">
        <f aca="false">'판관비(SG&amp;A)'!AB34</f>
        <v>368333</v>
      </c>
      <c r="AC20" s="8" t="n">
        <f aca="false">'판관비(SG&amp;A)'!AC34</f>
        <v>405000</v>
      </c>
      <c r="AD20" s="8" t="n">
        <f aca="false">'판관비(SG&amp;A)'!AD34</f>
        <v>405000</v>
      </c>
      <c r="AE20" s="8" t="n">
        <f aca="false">'판관비(SG&amp;A)'!AE34</f>
        <v>438333</v>
      </c>
      <c r="AF20" s="8" t="n">
        <f aca="false">'판관비(SG&amp;A)'!AF34</f>
        <v>438333</v>
      </c>
      <c r="AG20" s="8" t="n">
        <f aca="false">'판관비(SG&amp;A)'!AG34</f>
        <v>438333</v>
      </c>
      <c r="AH20" s="8" t="n">
        <f aca="false">'판관비(SG&amp;A)'!AH34</f>
        <v>438333</v>
      </c>
      <c r="AI20" s="8" t="n">
        <f aca="false">'판관비(SG&amp;A)'!AI34</f>
        <v>478333</v>
      </c>
      <c r="AJ20" s="8" t="n">
        <f aca="false">'판관비(SG&amp;A)'!AJ34</f>
        <v>478333</v>
      </c>
      <c r="AK20" s="8" t="n">
        <f aca="false">'판관비(SG&amp;A)'!AK34</f>
        <v>478333</v>
      </c>
      <c r="AL20" s="8" t="n">
        <f aca="false">'판관비(SG&amp;A)'!AL34</f>
        <v>478333</v>
      </c>
      <c r="AM20" s="8" t="n">
        <f aca="false">'판관비(SG&amp;A)'!AM34</f>
        <v>478333</v>
      </c>
      <c r="AN20" s="8" t="n">
        <f aca="false">'판관비(SG&amp;A)'!AN34</f>
        <v>478333</v>
      </c>
      <c r="AO20" s="8" t="n">
        <f aca="false">'판관비(SG&amp;A)'!AO34</f>
        <v>478333</v>
      </c>
      <c r="AP20" s="8" t="n">
        <f aca="false">'판관비(SG&amp;A)'!AP34</f>
        <v>0</v>
      </c>
      <c r="AQ20" s="8" t="n">
        <f aca="false">'판관비(SG&amp;A)'!AQ34</f>
        <v>1936665</v>
      </c>
      <c r="AR20" s="8" t="n">
        <f aca="false">'판관비(SG&amp;A)'!AR34</f>
        <v>5103330</v>
      </c>
      <c r="AS20" s="8" t="n">
        <f aca="false">'판관비(SG&amp;A)'!AS34</f>
        <v>1913332</v>
      </c>
    </row>
    <row r="21" customFormat="false" ht="15" hidden="false" customHeight="false" outlineLevel="0" collapsed="false">
      <c r="A21" s="27" t="s">
        <v>225</v>
      </c>
      <c r="B21" s="10"/>
      <c r="F21" s="8" t="n">
        <f aca="false">'판관비(SG&amp;A)'!F35</f>
        <v>6883054</v>
      </c>
      <c r="G21" s="8" t="n">
        <f aca="false">'판관비(SG&amp;A)'!G35</f>
        <v>7183054</v>
      </c>
      <c r="H21" s="8" t="n">
        <f aca="false">'판관비(SG&amp;A)'!H35</f>
        <v>7183054</v>
      </c>
      <c r="I21" s="8" t="n">
        <f aca="false">'판관비(SG&amp;A)'!I35</f>
        <v>4888702</v>
      </c>
      <c r="J21" s="8" t="n">
        <f aca="false">'판관비(SG&amp;A)'!J35</f>
        <v>2494351</v>
      </c>
      <c r="K21" s="8" t="n">
        <f aca="false">'판관비(SG&amp;A)'!K35</f>
        <v>1347176</v>
      </c>
      <c r="L21" s="8" t="n">
        <f aca="false">'판관비(SG&amp;A)'!L35</f>
        <v>1347176</v>
      </c>
      <c r="M21" s="8" t="n">
        <f aca="false">'판관비(SG&amp;A)'!M35</f>
        <v>1347174</v>
      </c>
      <c r="N21" s="8" t="n">
        <f aca="false">'판관비(SG&amp;A)'!N35</f>
        <v>3350000</v>
      </c>
      <c r="O21" s="8" t="n">
        <f aca="false">'판관비(SG&amp;A)'!O35</f>
        <v>3350000</v>
      </c>
      <c r="P21" s="8" t="n">
        <f aca="false">'판관비(SG&amp;A)'!P35</f>
        <v>3850000</v>
      </c>
      <c r="Q21" s="8" t="n">
        <f aca="false">'판관비(SG&amp;A)'!Q35</f>
        <v>2850000</v>
      </c>
      <c r="R21" s="8" t="n">
        <f aca="false">'판관비(SG&amp;A)'!R35</f>
        <v>2850000</v>
      </c>
      <c r="S21" s="8" t="n">
        <f aca="false">'판관비(SG&amp;A)'!S35</f>
        <v>2850000</v>
      </c>
      <c r="T21" s="8" t="n">
        <f aca="false">'판관비(SG&amp;A)'!T35</f>
        <v>2850000</v>
      </c>
      <c r="U21" s="8" t="n">
        <f aca="false">'판관비(SG&amp;A)'!U35</f>
        <v>2850000</v>
      </c>
      <c r="V21" s="8" t="n">
        <f aca="false">'판관비(SG&amp;A)'!V35</f>
        <v>2850000</v>
      </c>
      <c r="W21" s="8" t="n">
        <f aca="false">'판관비(SG&amp;A)'!W35</f>
        <v>2850000</v>
      </c>
      <c r="X21" s="8" t="n">
        <f aca="false">'판관비(SG&amp;A)'!X35</f>
        <v>4850000</v>
      </c>
      <c r="Y21" s="8" t="n">
        <f aca="false">'판관비(SG&amp;A)'!Y35</f>
        <v>4850000</v>
      </c>
      <c r="Z21" s="8" t="n">
        <f aca="false">'판관비(SG&amp;A)'!Z35</f>
        <v>5300000</v>
      </c>
      <c r="AA21" s="8" t="n">
        <f aca="false">'판관비(SG&amp;A)'!AA35</f>
        <v>5300000</v>
      </c>
      <c r="AB21" s="8" t="n">
        <f aca="false">'판관비(SG&amp;A)'!AB35</f>
        <v>5300000</v>
      </c>
      <c r="AC21" s="8" t="n">
        <f aca="false">'판관비(SG&amp;A)'!AC35</f>
        <v>5300000</v>
      </c>
      <c r="AD21" s="8" t="n">
        <f aca="false">'판관비(SG&amp;A)'!AD35</f>
        <v>5300000</v>
      </c>
      <c r="AE21" s="8" t="n">
        <f aca="false">'판관비(SG&amp;A)'!AE35</f>
        <v>5300000</v>
      </c>
      <c r="AF21" s="8" t="n">
        <f aca="false">'판관비(SG&amp;A)'!AF35</f>
        <v>5300000</v>
      </c>
      <c r="AG21" s="8" t="n">
        <f aca="false">'판관비(SG&amp;A)'!AG35</f>
        <v>5300000</v>
      </c>
      <c r="AH21" s="8" t="n">
        <f aca="false">'판관비(SG&amp;A)'!AH35</f>
        <v>5300000</v>
      </c>
      <c r="AI21" s="8" t="n">
        <f aca="false">'판관비(SG&amp;A)'!AI35</f>
        <v>5300000</v>
      </c>
      <c r="AJ21" s="8" t="n">
        <f aca="false">'판관비(SG&amp;A)'!AJ35</f>
        <v>5300000</v>
      </c>
      <c r="AK21" s="8" t="n">
        <f aca="false">'판관비(SG&amp;A)'!AK35</f>
        <v>5300000</v>
      </c>
      <c r="AL21" s="8" t="n">
        <f aca="false">'판관비(SG&amp;A)'!AL35</f>
        <v>5300000</v>
      </c>
      <c r="AM21" s="8" t="n">
        <f aca="false">'판관비(SG&amp;A)'!AM35</f>
        <v>5300000</v>
      </c>
      <c r="AN21" s="8" t="n">
        <f aca="false">'판관비(SG&amp;A)'!AN35</f>
        <v>5300000</v>
      </c>
      <c r="AO21" s="8" t="n">
        <f aca="false">'판관비(SG&amp;A)'!AO35</f>
        <v>5300000</v>
      </c>
      <c r="AP21" s="8" t="n">
        <f aca="false">'판관비(SG&amp;A)'!AP35</f>
        <v>32673741</v>
      </c>
      <c r="AQ21" s="8" t="n">
        <f aca="false">'판관비(SG&amp;A)'!AQ35</f>
        <v>40200000</v>
      </c>
      <c r="AR21" s="8" t="n">
        <f aca="false">'판관비(SG&amp;A)'!AR35</f>
        <v>63600000</v>
      </c>
      <c r="AS21" s="8" t="n">
        <f aca="false">'판관비(SG&amp;A)'!AS35</f>
        <v>21200000</v>
      </c>
    </row>
    <row r="22" customFormat="false" ht="15" hidden="false" customHeight="false" outlineLevel="0" collapsed="false">
      <c r="A22" s="27" t="s">
        <v>226</v>
      </c>
      <c r="B22" s="10"/>
      <c r="F22" s="8" t="n">
        <f aca="false">'판관비(SG&amp;A)'!F36</f>
        <v>0</v>
      </c>
      <c r="G22" s="8" t="n">
        <f aca="false">'판관비(SG&amp;A)'!G36</f>
        <v>300000</v>
      </c>
      <c r="H22" s="8" t="n">
        <f aca="false">'판관비(SG&amp;A)'!H36</f>
        <v>300000</v>
      </c>
      <c r="I22" s="8" t="n">
        <f aca="false">'판관비(SG&amp;A)'!I36</f>
        <v>600000</v>
      </c>
      <c r="J22" s="8" t="n">
        <f aca="false">'판관비(SG&amp;A)'!J36</f>
        <v>1400000</v>
      </c>
      <c r="K22" s="8" t="n">
        <f aca="false">'판관비(SG&amp;A)'!K36</f>
        <v>2100000</v>
      </c>
      <c r="L22" s="8" t="n">
        <f aca="false">'판관비(SG&amp;A)'!L36</f>
        <v>1200000</v>
      </c>
      <c r="M22" s="8" t="n">
        <f aca="false">'판관비(SG&amp;A)'!M36</f>
        <v>1100000</v>
      </c>
      <c r="N22" s="8" t="n">
        <f aca="false">'판관비(SG&amp;A)'!N36</f>
        <v>1820000</v>
      </c>
      <c r="O22" s="8" t="n">
        <f aca="false">'판관비(SG&amp;A)'!O36</f>
        <v>4500000</v>
      </c>
      <c r="P22" s="8" t="n">
        <f aca="false">'판관비(SG&amp;A)'!P36</f>
        <v>5006000</v>
      </c>
      <c r="Q22" s="8" t="n">
        <f aca="false">'판관비(SG&amp;A)'!Q36</f>
        <v>3360960</v>
      </c>
      <c r="R22" s="8" t="n">
        <f aca="false">'판관비(SG&amp;A)'!R36</f>
        <v>3055606</v>
      </c>
      <c r="S22" s="8" t="n">
        <f aca="false">'판관비(SG&amp;A)'!S36</f>
        <v>2996355</v>
      </c>
      <c r="T22" s="8" t="n">
        <f aca="false">'판관비(SG&amp;A)'!T36</f>
        <v>3398870</v>
      </c>
      <c r="U22" s="8" t="n">
        <f aca="false">'판관비(SG&amp;A)'!U36</f>
        <v>5839836</v>
      </c>
      <c r="V22" s="8" t="n">
        <f aca="false">'판관비(SG&amp;A)'!V36</f>
        <v>6963877</v>
      </c>
      <c r="W22" s="8" t="n">
        <f aca="false">'판관비(SG&amp;A)'!W36</f>
        <v>4943571</v>
      </c>
      <c r="X22" s="8" t="n">
        <f aca="false">'판관비(SG&amp;A)'!X36</f>
        <v>4305458</v>
      </c>
      <c r="Y22" s="8" t="n">
        <f aca="false">'판관비(SG&amp;A)'!Y36</f>
        <v>3846425</v>
      </c>
      <c r="Z22" s="8" t="n">
        <f aca="false">'판관비(SG&amp;A)'!Z36</f>
        <v>5904110</v>
      </c>
      <c r="AA22" s="8" t="n">
        <f aca="false">'판관비(SG&amp;A)'!AA36</f>
        <v>8499935</v>
      </c>
      <c r="AB22" s="8" t="n">
        <f aca="false">'판관비(SG&amp;A)'!AB36</f>
        <v>11158606</v>
      </c>
      <c r="AC22" s="8" t="n">
        <f aca="false">'판관비(SG&amp;A)'!AC36</f>
        <v>7849826</v>
      </c>
      <c r="AD22" s="8" t="n">
        <f aca="false">'판관비(SG&amp;A)'!AD36</f>
        <v>6474902</v>
      </c>
      <c r="AE22" s="8" t="n">
        <f aca="false">'판관비(SG&amp;A)'!AE36</f>
        <v>6060684</v>
      </c>
      <c r="AF22" s="8" t="n">
        <f aca="false">'판관비(SG&amp;A)'!AF36</f>
        <v>6768045</v>
      </c>
      <c r="AG22" s="8" t="n">
        <f aca="false">'판관비(SG&amp;A)'!AG36</f>
        <v>10187743</v>
      </c>
      <c r="AH22" s="8" t="n">
        <f aca="false">'판관비(SG&amp;A)'!AH36</f>
        <v>13225228</v>
      </c>
      <c r="AI22" s="8" t="n">
        <f aca="false">'판관비(SG&amp;A)'!AI36</f>
        <v>9154827</v>
      </c>
      <c r="AJ22" s="8" t="n">
        <f aca="false">'판관비(SG&amp;A)'!AJ36</f>
        <v>7468849</v>
      </c>
      <c r="AK22" s="8" t="n">
        <f aca="false">'판관비(SG&amp;A)'!AK36</f>
        <v>6342547</v>
      </c>
      <c r="AL22" s="8" t="n">
        <f aca="false">'판관비(SG&amp;A)'!AL36</f>
        <v>8489191</v>
      </c>
      <c r="AM22" s="8" t="n">
        <f aca="false">'판관비(SG&amp;A)'!AM36</f>
        <v>11629828</v>
      </c>
      <c r="AN22" s="8" t="n">
        <f aca="false">'판관비(SG&amp;A)'!AN36</f>
        <v>15092971</v>
      </c>
      <c r="AO22" s="8" t="n">
        <f aca="false">'판관비(SG&amp;A)'!AO36</f>
        <v>11259097</v>
      </c>
      <c r="AP22" s="8" t="n">
        <f aca="false">'판관비(SG&amp;A)'!AP36</f>
        <v>7000000</v>
      </c>
      <c r="AQ22" s="8" t="n">
        <f aca="false">'판관비(SG&amp;A)'!AQ36</f>
        <v>50036958</v>
      </c>
      <c r="AR22" s="8" t="n">
        <f aca="false">'판관비(SG&amp;A)'!AR36</f>
        <v>99095302</v>
      </c>
      <c r="AS22" s="8" t="n">
        <f aca="false">'판관비(SG&amp;A)'!AS36</f>
        <v>46471087</v>
      </c>
    </row>
    <row r="23" customFormat="false" ht="15" hidden="false" customHeight="false" outlineLevel="0" collapsed="false">
      <c r="A23" s="27" t="s">
        <v>227</v>
      </c>
      <c r="B23" s="10"/>
      <c r="F23" s="8" t="n">
        <f aca="false">'판관비(SG&amp;A)'!F37</f>
        <v>1660495</v>
      </c>
      <c r="G23" s="8" t="n">
        <f aca="false">'판관비(SG&amp;A)'!G37</f>
        <v>476613</v>
      </c>
      <c r="H23" s="8" t="n">
        <f aca="false">'판관비(SG&amp;A)'!H37</f>
        <v>476613</v>
      </c>
      <c r="I23" s="8" t="n">
        <f aca="false">'판관비(SG&amp;A)'!I37</f>
        <v>476257</v>
      </c>
      <c r="J23" s="8" t="n">
        <f aca="false">'판관비(SG&amp;A)'!J37</f>
        <v>568553</v>
      </c>
      <c r="K23" s="8" t="n">
        <f aca="false">'판관비(SG&amp;A)'!K37</f>
        <v>669257</v>
      </c>
      <c r="L23" s="8" t="n">
        <f aca="false">'판관비(SG&amp;A)'!L37</f>
        <v>697492</v>
      </c>
      <c r="M23" s="8" t="n">
        <f aca="false">'판관비(SG&amp;A)'!M37</f>
        <v>656573</v>
      </c>
      <c r="N23" s="8" t="n">
        <f aca="false">'판관비(SG&amp;A)'!N37</f>
        <v>1544000</v>
      </c>
      <c r="O23" s="8" t="n">
        <f aca="false">'판관비(SG&amp;A)'!O37</f>
        <v>1344000</v>
      </c>
      <c r="P23" s="8" t="n">
        <f aca="false">'판관비(SG&amp;A)'!P37</f>
        <v>2844000</v>
      </c>
      <c r="Q23" s="8" t="n">
        <f aca="false">'판관비(SG&amp;A)'!Q37</f>
        <v>5390000</v>
      </c>
      <c r="R23" s="8" t="n">
        <f aca="false">'판관비(SG&amp;A)'!R37</f>
        <v>1390000</v>
      </c>
      <c r="S23" s="8" t="n">
        <f aca="false">'판관비(SG&amp;A)'!S37</f>
        <v>1390000</v>
      </c>
      <c r="T23" s="8" t="n">
        <f aca="false">'판관비(SG&amp;A)'!T37</f>
        <v>1590000</v>
      </c>
      <c r="U23" s="8" t="n">
        <f aca="false">'판관비(SG&amp;A)'!U37</f>
        <v>1640000</v>
      </c>
      <c r="V23" s="8" t="n">
        <f aca="false">'판관비(SG&amp;A)'!V37</f>
        <v>1390000</v>
      </c>
      <c r="W23" s="8" t="n">
        <f aca="false">'판관비(SG&amp;A)'!W37</f>
        <v>1690000</v>
      </c>
      <c r="X23" s="8" t="n">
        <f aca="false">'판관비(SG&amp;A)'!X37</f>
        <v>1390000</v>
      </c>
      <c r="Y23" s="8" t="n">
        <f aca="false">'판관비(SG&amp;A)'!Y37</f>
        <v>1590000</v>
      </c>
      <c r="Z23" s="8" t="n">
        <f aca="false">'판관비(SG&amp;A)'!Z37</f>
        <v>4989000</v>
      </c>
      <c r="AA23" s="8" t="n">
        <f aca="false">'판관비(SG&amp;A)'!AA37</f>
        <v>4989000</v>
      </c>
      <c r="AB23" s="8" t="n">
        <f aca="false">'판관비(SG&amp;A)'!AB37</f>
        <v>7212000</v>
      </c>
      <c r="AC23" s="8" t="n">
        <f aca="false">'판관비(SG&amp;A)'!AC37</f>
        <v>5312000</v>
      </c>
      <c r="AD23" s="8" t="n">
        <f aca="false">'판관비(SG&amp;A)'!AD37</f>
        <v>5012000</v>
      </c>
      <c r="AE23" s="8" t="n">
        <f aca="false">'판관비(SG&amp;A)'!AE37</f>
        <v>5035000</v>
      </c>
      <c r="AF23" s="8" t="n">
        <f aca="false">'판관비(SG&amp;A)'!AF37</f>
        <v>5035000</v>
      </c>
      <c r="AG23" s="8" t="n">
        <f aca="false">'판관비(SG&amp;A)'!AG37</f>
        <v>5285000</v>
      </c>
      <c r="AH23" s="8" t="n">
        <f aca="false">'판관비(SG&amp;A)'!AH37</f>
        <v>5258000</v>
      </c>
      <c r="AI23" s="8" t="n">
        <f aca="false">'판관비(SG&amp;A)'!AI37</f>
        <v>5358000</v>
      </c>
      <c r="AJ23" s="8" t="n">
        <f aca="false">'판관비(SG&amp;A)'!AJ37</f>
        <v>5058000</v>
      </c>
      <c r="AK23" s="8" t="n">
        <f aca="false">'판관비(SG&amp;A)'!AK37</f>
        <v>5058000</v>
      </c>
      <c r="AL23" s="8" t="n">
        <f aca="false">'판관비(SG&amp;A)'!AL37</f>
        <v>5058000</v>
      </c>
      <c r="AM23" s="8" t="n">
        <f aca="false">'판관비(SG&amp;A)'!AM37</f>
        <v>5058000</v>
      </c>
      <c r="AN23" s="8" t="n">
        <f aca="false">'판관비(SG&amp;A)'!AN37</f>
        <v>7558000</v>
      </c>
      <c r="AO23" s="8" t="n">
        <f aca="false">'판관비(SG&amp;A)'!AO37</f>
        <v>5358000</v>
      </c>
      <c r="AP23" s="8" t="n">
        <f aca="false">'판관비(SG&amp;A)'!AP37</f>
        <v>5681853</v>
      </c>
      <c r="AQ23" s="8" t="n">
        <f aca="false">'판관비(SG&amp;A)'!AQ37</f>
        <v>23192000</v>
      </c>
      <c r="AR23" s="8" t="n">
        <f aca="false">'판관비(SG&amp;A)'!AR37</f>
        <v>63601000</v>
      </c>
      <c r="AS23" s="8" t="n">
        <f aca="false">'판관비(SG&amp;A)'!AS37</f>
        <v>23032000</v>
      </c>
    </row>
    <row r="24" customFormat="false" ht="15" hidden="false" customHeight="false" outlineLevel="0" collapsed="false">
      <c r="A24" s="18" t="s">
        <v>228</v>
      </c>
      <c r="B24" s="29"/>
      <c r="C24" s="19"/>
      <c r="D24" s="19"/>
      <c r="E24" s="19"/>
      <c r="F24" s="20" t="n">
        <f aca="false">F13-F18</f>
        <v>-7093049</v>
      </c>
      <c r="G24" s="20" t="n">
        <f aca="false">G13-G18</f>
        <v>-8756160</v>
      </c>
      <c r="H24" s="20" t="n">
        <f aca="false">H13-H18</f>
        <v>-8175960</v>
      </c>
      <c r="I24" s="20" t="n">
        <f aca="false">I13-I18</f>
        <v>-5794452</v>
      </c>
      <c r="J24" s="20" t="n">
        <f aca="false">J13-J18</f>
        <v>-5323479</v>
      </c>
      <c r="K24" s="20" t="n">
        <f aca="false">K13-K18</f>
        <v>-4578086</v>
      </c>
      <c r="L24" s="20" t="n">
        <f aca="false">L13-L18</f>
        <v>-3436139</v>
      </c>
      <c r="M24" s="20" t="n">
        <f aca="false">M13-M18</f>
        <v>-3133515</v>
      </c>
      <c r="N24" s="20" t="n">
        <f aca="false">N13-N18</f>
        <v>-15022238</v>
      </c>
      <c r="O24" s="20" t="n">
        <f aca="false">O13-O18</f>
        <v>-16882591</v>
      </c>
      <c r="P24" s="20" t="n">
        <f aca="false">P13-P18</f>
        <v>-15022694</v>
      </c>
      <c r="Q24" s="20" t="n">
        <f aca="false">Q13-Q18</f>
        <v>-19899654</v>
      </c>
      <c r="R24" s="20" t="n">
        <f aca="false">R13-R18</f>
        <v>-20367380</v>
      </c>
      <c r="S24" s="20" t="n">
        <f aca="false">S13-S18</f>
        <v>-19754636</v>
      </c>
      <c r="T24" s="20" t="n">
        <f aca="false">T13-T18</f>
        <v>-22586428</v>
      </c>
      <c r="U24" s="20" t="n">
        <f aca="false">U13-U18</f>
        <v>-22782697</v>
      </c>
      <c r="V24" s="20" t="n">
        <f aca="false">V13-V18</f>
        <v>-19094119</v>
      </c>
      <c r="W24" s="20" t="n">
        <f aca="false">W13-W18</f>
        <v>-7412400</v>
      </c>
      <c r="X24" s="20" t="n">
        <f aca="false">X13-X18</f>
        <v>-17601002</v>
      </c>
      <c r="Y24" s="20" t="n">
        <f aca="false">Y13-Y18</f>
        <v>-18052899</v>
      </c>
      <c r="Z24" s="20" t="n">
        <f aca="false">Z13-Z18</f>
        <v>-21312944</v>
      </c>
      <c r="AA24" s="20" t="n">
        <f aca="false">AA13-AA18</f>
        <v>-22992820</v>
      </c>
      <c r="AB24" s="20" t="n">
        <f aca="false">AB13-AB18</f>
        <v>-22284056</v>
      </c>
      <c r="AC24" s="20" t="n">
        <f aca="false">AC13-AC18</f>
        <v>-2511811</v>
      </c>
      <c r="AD24" s="20" t="n">
        <f aca="false">AD13-AD18</f>
        <v>-15590462</v>
      </c>
      <c r="AE24" s="20" t="n">
        <f aca="false">AE13-AE18</f>
        <v>-19692350</v>
      </c>
      <c r="AF24" s="20" t="n">
        <f aca="false">AF13-AF18</f>
        <v>-16078701</v>
      </c>
      <c r="AG24" s="20" t="n">
        <f aca="false">AG13-AG18</f>
        <v>-16465392</v>
      </c>
      <c r="AH24" s="20" t="n">
        <f aca="false">AH13-AH18</f>
        <v>-18377836</v>
      </c>
      <c r="AI24" s="20" t="n">
        <f aca="false">AI13-AI18</f>
        <v>4524687</v>
      </c>
      <c r="AJ24" s="20" t="n">
        <f aca="false">AJ13-AJ18</f>
        <v>-13388951</v>
      </c>
      <c r="AK24" s="20" t="n">
        <f aca="false">AK13-AK18</f>
        <v>-14812656</v>
      </c>
      <c r="AL24" s="20" t="n">
        <f aca="false">AL13-AL18</f>
        <v>-13624227</v>
      </c>
      <c r="AM24" s="20" t="n">
        <f aca="false">AM13-AM18</f>
        <v>-16717606</v>
      </c>
      <c r="AN24" s="20" t="n">
        <f aca="false">AN13-AN18</f>
        <v>-13537503</v>
      </c>
      <c r="AO24" s="20" t="n">
        <f aca="false">AO13-AO18</f>
        <v>15045630</v>
      </c>
      <c r="AP24" s="20" t="n">
        <f aca="false">AP13-AP18</f>
        <v>-46290840</v>
      </c>
      <c r="AQ24" s="20" t="n">
        <f aca="false">AQ13-AQ18</f>
        <v>-214478738</v>
      </c>
      <c r="AR24" s="20" t="n">
        <f aca="false">AR13-AR18</f>
        <v>-178983292</v>
      </c>
      <c r="AS24" s="20" t="n">
        <f aca="false">AS13-AS18</f>
        <v>-28833706</v>
      </c>
      <c r="AT24" s="17" t="s">
        <v>229</v>
      </c>
    </row>
    <row r="25" customFormat="false" ht="15" hidden="false" customHeight="false" outlineLevel="0" collapsed="false">
      <c r="A25" s="30" t="s">
        <v>230</v>
      </c>
      <c r="B25" s="10"/>
      <c r="F25" s="31" t="n">
        <f aca="false">IF(F5=0,0,F24/F5)</f>
        <v>-4.72869933333333</v>
      </c>
      <c r="G25" s="31" t="n">
        <f aca="false">IF(G5=0,0,G24/G5)</f>
        <v>-3.36775384615385</v>
      </c>
      <c r="H25" s="31" t="n">
        <f aca="false">IF(H5=0,0,H24/H5)</f>
        <v>-2.5549875</v>
      </c>
      <c r="I25" s="31" t="n">
        <f aca="false">IF(I5=0,0,I24/I5)</f>
        <v>-1.60957</v>
      </c>
      <c r="J25" s="31" t="n">
        <f aca="false">IF(J5=0,0,J24/J5)</f>
        <v>-1.06257065868263</v>
      </c>
      <c r="K25" s="31" t="n">
        <f aca="false">IF(K5=0,0,K24/K5)</f>
        <v>-0.798132147838215</v>
      </c>
      <c r="L25" s="31" t="n">
        <f aca="false">IF(L5=0,0,L24/L5)</f>
        <v>-0.373412193001521</v>
      </c>
      <c r="M25" s="31" t="n">
        <f aca="false">IF(M5=0,0,M24/M5)</f>
        <v>-0.487336769791517</v>
      </c>
      <c r="N25" s="31" t="n">
        <f aca="false">IF(N5=0,0,N24/N5)</f>
        <v>-2.21077821927888</v>
      </c>
      <c r="O25" s="31" t="n">
        <f aca="false">IF(O5=0,0,O24/O5)</f>
        <v>-1.79689276793541</v>
      </c>
      <c r="P25" s="31" t="n">
        <f aca="false">IF(P5=0,0,P24/P5)</f>
        <v>-0.998619997774447</v>
      </c>
      <c r="Q25" s="31" t="n">
        <f aca="false">IF(Q5=0,0,Q24/Q5)</f>
        <v>-0.789230849039961</v>
      </c>
      <c r="R25" s="31" t="n">
        <f aca="false">IF(R5=0,0,R24/R5)</f>
        <v>-1.26981718265574</v>
      </c>
      <c r="S25" s="31" t="n">
        <f aca="false">IF(S5=0,0,S24/S5)</f>
        <v>-1.16558311560237</v>
      </c>
      <c r="T25" s="31" t="n">
        <f aca="false">IF(T5=0,0,T24/T5)</f>
        <v>-1.12078338425707</v>
      </c>
      <c r="U25" s="31" t="n">
        <f aca="false">IF(U5=0,0,U24/U5)</f>
        <v>-0.967626859636813</v>
      </c>
      <c r="V25" s="31" t="n">
        <f aca="false">IF(V5=0,0,V24/V5)</f>
        <v>-0.619562303084395</v>
      </c>
      <c r="W25" s="31" t="n">
        <f aca="false">IF(W5=0,0,W24/W5)</f>
        <v>-0.162721944475867</v>
      </c>
      <c r="X25" s="31" t="n">
        <f aca="false">IF(X5=0,0,X24/X5)</f>
        <v>-0.574631296249677</v>
      </c>
      <c r="Y25" s="31" t="n">
        <f aca="false">IF(Y5=0,0,Y24/Y5)</f>
        <v>-0.606028223623752</v>
      </c>
      <c r="Z25" s="31" t="n">
        <f aca="false">IF(Z5=0,0,Z24/Z5)</f>
        <v>-0.604328007068555</v>
      </c>
      <c r="AA25" s="31" t="n">
        <f aca="false">IF(AA5=0,0,AA24/AA5)</f>
        <v>-0.595054094626894</v>
      </c>
      <c r="AB25" s="31" t="n">
        <f aca="false">IF(AB5=0,0,AB24/AB5)</f>
        <v>-0.447120553081357</v>
      </c>
      <c r="AC25" s="31" t="n">
        <f aca="false">IF(AC5=0,0,AC24/AC5)</f>
        <v>-0.035082912873536</v>
      </c>
      <c r="AD25" s="31" t="n">
        <f aca="false">IF(AD5=0,0,AD24/AD5)</f>
        <v>-0.313699997722272</v>
      </c>
      <c r="AE25" s="31" t="n">
        <f aca="false">IF(AE5=0,0,AE24/AE5)</f>
        <v>-0.398735230763913</v>
      </c>
      <c r="AF25" s="31" t="n">
        <f aca="false">IF(AF5=0,0,AF24/AF5)</f>
        <v>-0.296029569262431</v>
      </c>
      <c r="AG25" s="31" t="n">
        <f aca="false">IF(AG5=0,0,AG24/AG5)</f>
        <v>-0.277630184927989</v>
      </c>
      <c r="AH25" s="31" t="n">
        <f aca="false">IF(AH5=0,0,AH24/AH5)</f>
        <v>-0.259709432888204</v>
      </c>
      <c r="AI25" s="31" t="n">
        <f aca="false">IF(AI5=0,0,AI24/AI5)</f>
        <v>0.0473084106329563</v>
      </c>
      <c r="AJ25" s="31" t="n">
        <f aca="false">IF(AJ5=0,0,AJ24/AJ5)</f>
        <v>-0.199513458967319</v>
      </c>
      <c r="AK25" s="31" t="n">
        <f aca="false">IF(AK5=0,0,AK24/AK5)</f>
        <v>-0.232253655669319</v>
      </c>
      <c r="AL25" s="31" t="n">
        <f aca="false">IF(AL5=0,0,AL24/AL5)</f>
        <v>-0.19377958551004</v>
      </c>
      <c r="AM25" s="31" t="n">
        <f aca="false">IF(AM5=0,0,AM24/AM5)</f>
        <v>-0.22721735858665</v>
      </c>
      <c r="AN25" s="31" t="n">
        <f aca="false">IF(AN5=0,0,AN24/AN5)</f>
        <v>-0.163862941592071</v>
      </c>
      <c r="AO25" s="31" t="n">
        <f aca="false">IF(AO5=0,0,AO24/AO5)</f>
        <v>0.131963178157741</v>
      </c>
      <c r="AP25" s="31" t="n">
        <f aca="false">IF(AP5=0,0,AP24/AP5)</f>
        <v>-1.24177783090431</v>
      </c>
      <c r="AQ25" s="31" t="n">
        <f aca="false">IF(AQ5=0,0,AQ24/AQ5)</f>
        <v>-0.794591466218231</v>
      </c>
      <c r="AR25" s="31" t="n">
        <f aca="false">IF(AR5=0,0,AR24/AR5)</f>
        <v>-0.253754288236389</v>
      </c>
      <c r="AS25" s="31" t="n">
        <f aca="false">IF(AS5=0,0,AS24/AS5)</f>
        <v>-0.0846775308923208</v>
      </c>
    </row>
    <row r="26" customFormat="false" ht="15" hidden="false" customHeight="false" outlineLevel="0" collapsed="false">
      <c r="A26" s="27" t="s">
        <v>231</v>
      </c>
      <c r="B26" s="10"/>
      <c r="F26" s="9" t="n">
        <f aca="false">F24+F20</f>
        <v>-7093049</v>
      </c>
      <c r="G26" s="9" t="n">
        <f aca="false">G24+G20</f>
        <v>-8756160</v>
      </c>
      <c r="H26" s="9" t="n">
        <f aca="false">H24+H20</f>
        <v>-8175960</v>
      </c>
      <c r="I26" s="9" t="n">
        <f aca="false">I24+I20</f>
        <v>-5794452</v>
      </c>
      <c r="J26" s="9" t="n">
        <f aca="false">J24+J20</f>
        <v>-5323479</v>
      </c>
      <c r="K26" s="9" t="n">
        <f aca="false">K24+K20</f>
        <v>-4578086</v>
      </c>
      <c r="L26" s="9" t="n">
        <f aca="false">L24+L20</f>
        <v>-3436139</v>
      </c>
      <c r="M26" s="9" t="n">
        <f aca="false">M24+M20</f>
        <v>-3133515</v>
      </c>
      <c r="N26" s="9" t="n">
        <f aca="false">N24+N20</f>
        <v>-15022238</v>
      </c>
      <c r="O26" s="9" t="n">
        <f aca="false">O24+O20</f>
        <v>-16799258</v>
      </c>
      <c r="P26" s="9" t="n">
        <f aca="false">P24+P20</f>
        <v>-14914361</v>
      </c>
      <c r="Q26" s="9" t="n">
        <f aca="false">Q24+Q20</f>
        <v>-19791321</v>
      </c>
      <c r="R26" s="9" t="n">
        <f aca="false">R24+R20</f>
        <v>-20185713</v>
      </c>
      <c r="S26" s="9" t="n">
        <f aca="false">S24+S20</f>
        <v>-19572969</v>
      </c>
      <c r="T26" s="9" t="n">
        <f aca="false">T24+T20</f>
        <v>-22404761</v>
      </c>
      <c r="U26" s="9" t="n">
        <f aca="false">U24+U20</f>
        <v>-22564364</v>
      </c>
      <c r="V26" s="9" t="n">
        <f aca="false">V24+V20</f>
        <v>-18875786</v>
      </c>
      <c r="W26" s="9" t="n">
        <f aca="false">W24+W20</f>
        <v>-7194067</v>
      </c>
      <c r="X26" s="9" t="n">
        <f aca="false">X24+X20</f>
        <v>-17382669</v>
      </c>
      <c r="Y26" s="9" t="n">
        <f aca="false">Y24+Y20</f>
        <v>-17834566</v>
      </c>
      <c r="Z26" s="9" t="n">
        <f aca="false">Z24+Z20</f>
        <v>-20944611</v>
      </c>
      <c r="AA26" s="9" t="n">
        <f aca="false">AA24+AA20</f>
        <v>-22624487</v>
      </c>
      <c r="AB26" s="9" t="n">
        <f aca="false">AB24+AB20</f>
        <v>-21915723</v>
      </c>
      <c r="AC26" s="9" t="n">
        <f aca="false">AC24+AC20</f>
        <v>-2106811</v>
      </c>
      <c r="AD26" s="9" t="n">
        <f aca="false">AD24+AD20</f>
        <v>-15185462</v>
      </c>
      <c r="AE26" s="9" t="n">
        <f aca="false">AE24+AE20</f>
        <v>-19254017</v>
      </c>
      <c r="AF26" s="9" t="n">
        <f aca="false">AF24+AF20</f>
        <v>-15640368</v>
      </c>
      <c r="AG26" s="9" t="n">
        <f aca="false">AG24+AG20</f>
        <v>-16027059</v>
      </c>
      <c r="AH26" s="9" t="n">
        <f aca="false">AH24+AH20</f>
        <v>-17939503</v>
      </c>
      <c r="AI26" s="9" t="n">
        <f aca="false">AI24+AI20</f>
        <v>5003020</v>
      </c>
      <c r="AJ26" s="9" t="n">
        <f aca="false">AJ24+AJ20</f>
        <v>-12910618</v>
      </c>
      <c r="AK26" s="9" t="n">
        <f aca="false">AK24+AK20</f>
        <v>-14334323</v>
      </c>
      <c r="AL26" s="9" t="n">
        <f aca="false">AL24+AL20</f>
        <v>-13145894</v>
      </c>
      <c r="AM26" s="9" t="n">
        <f aca="false">AM24+AM20</f>
        <v>-16239273</v>
      </c>
      <c r="AN26" s="9" t="n">
        <f aca="false">AN24+AN20</f>
        <v>-13059170</v>
      </c>
      <c r="AO26" s="9" t="n">
        <f aca="false">AO24+AO20</f>
        <v>15523963</v>
      </c>
      <c r="AP26" s="9" t="n">
        <f aca="false">AP24+AP20</f>
        <v>-46290840</v>
      </c>
      <c r="AQ26" s="9" t="n">
        <f aca="false">AQ24+AQ20</f>
        <v>-212542073</v>
      </c>
      <c r="AR26" s="9" t="n">
        <f aca="false">AR24+AR20</f>
        <v>-173879962</v>
      </c>
      <c r="AS26" s="9" t="n">
        <f aca="false">AS24+AS20</f>
        <v>-26920374</v>
      </c>
    </row>
    <row r="27" customFormat="false" ht="15" hidden="false" customHeight="false" outlineLevel="0" collapsed="false">
      <c r="A27" s="3" t="s">
        <v>17</v>
      </c>
      <c r="B27" s="10"/>
      <c r="F27" s="32" t="n">
        <f aca="false">F28+F29</f>
        <v>0</v>
      </c>
      <c r="G27" s="32" t="n">
        <f aca="false">G28+G29</f>
        <v>5141680</v>
      </c>
      <c r="H27" s="32" t="n">
        <f aca="false">H28+H29</f>
        <v>5141680</v>
      </c>
      <c r="I27" s="32" t="n">
        <f aca="false">I28+I29</f>
        <v>4113344</v>
      </c>
      <c r="J27" s="32" t="n">
        <f aca="false">J28+J29</f>
        <v>3085008</v>
      </c>
      <c r="K27" s="32" t="n">
        <f aca="false">K28+K29</f>
        <v>2056672</v>
      </c>
      <c r="L27" s="32" t="n">
        <f aca="false">L28+L29</f>
        <v>2071672</v>
      </c>
      <c r="M27" s="32" t="n">
        <f aca="false">M28+M29</f>
        <v>2093081</v>
      </c>
      <c r="N27" s="32" t="n">
        <f aca="false">N28+N29</f>
        <v>298186</v>
      </c>
      <c r="O27" s="32" t="n">
        <f aca="false">O28+O29</f>
        <v>261372</v>
      </c>
      <c r="P27" s="32" t="n">
        <f aca="false">P28+P29</f>
        <v>238020</v>
      </c>
      <c r="Q27" s="32" t="n">
        <f aca="false">Q28+Q29</f>
        <v>227934</v>
      </c>
      <c r="R27" s="32" t="n">
        <f aca="false">R28+R29</f>
        <v>7937939</v>
      </c>
      <c r="S27" s="32" t="n">
        <f aca="false">S28+S29</f>
        <v>7944999</v>
      </c>
      <c r="T27" s="32" t="n">
        <f aca="false">T28+T29</f>
        <v>7927558</v>
      </c>
      <c r="U27" s="32" t="n">
        <f aca="false">U28+U29</f>
        <v>7903045</v>
      </c>
      <c r="V27" s="32" t="n">
        <f aca="false">V28+V29</f>
        <v>7890511</v>
      </c>
      <c r="W27" s="32" t="n">
        <f aca="false">W28+W29</f>
        <v>7886277</v>
      </c>
      <c r="X27" s="32" t="n">
        <f aca="false">X28+X29</f>
        <v>23873416</v>
      </c>
      <c r="Y27" s="32" t="n">
        <f aca="false">Y28+Y29</f>
        <v>16905437</v>
      </c>
      <c r="Z27" s="32" t="n">
        <f aca="false">Z28+Z29</f>
        <v>16839991</v>
      </c>
      <c r="AA27" s="32" t="n">
        <f aca="false">AA28+AA29</f>
        <v>16836193</v>
      </c>
      <c r="AB27" s="32" t="n">
        <f aca="false">AB28+AB29</f>
        <v>16838857</v>
      </c>
      <c r="AC27" s="32" t="n">
        <f aca="false">AC28+AC29</f>
        <v>16845646</v>
      </c>
      <c r="AD27" s="32" t="n">
        <f aca="false">AD28+AD29</f>
        <v>16835459</v>
      </c>
      <c r="AE27" s="32" t="n">
        <f aca="false">AE28+AE29</f>
        <v>16918468</v>
      </c>
      <c r="AF27" s="32" t="n">
        <f aca="false">AF28+AF29</f>
        <v>16908592</v>
      </c>
      <c r="AG27" s="32" t="n">
        <f aca="false">AG28+AG29</f>
        <v>16896830</v>
      </c>
      <c r="AH27" s="32" t="n">
        <f aca="false">AH28+AH29</f>
        <v>16911693</v>
      </c>
      <c r="AI27" s="32" t="n">
        <f aca="false">AI28+AI29</f>
        <v>16927743</v>
      </c>
      <c r="AJ27" s="32" t="n">
        <f aca="false">AJ28+AJ29</f>
        <v>16918716</v>
      </c>
      <c r="AK27" s="32" t="n">
        <f aca="false">AK28+AK29</f>
        <v>16965620</v>
      </c>
      <c r="AL27" s="32" t="n">
        <f aca="false">AL28+AL29</f>
        <v>16946110</v>
      </c>
      <c r="AM27" s="32" t="n">
        <f aca="false">AM28+AM29</f>
        <v>16927695</v>
      </c>
      <c r="AN27" s="32" t="n">
        <f aca="false">AN28+AN29</f>
        <v>16931633</v>
      </c>
      <c r="AO27" s="32" t="n">
        <f aca="false">AO28+AO29</f>
        <v>16956582</v>
      </c>
      <c r="AP27" s="32" t="n">
        <f aca="false">AP28+AP29</f>
        <v>23703137</v>
      </c>
      <c r="AQ27" s="32" t="n">
        <f aca="false">AQ28+AQ29</f>
        <v>89294694</v>
      </c>
      <c r="AR27" s="32" t="n">
        <f aca="false">AR28+AR29</f>
        <v>202643808</v>
      </c>
      <c r="AS27" s="32" t="n">
        <f aca="false">AS28+AS29</f>
        <v>67762020</v>
      </c>
      <c r="AT27" s="17" t="s">
        <v>232</v>
      </c>
    </row>
    <row r="28" customFormat="false" ht="15" hidden="false" customHeight="false" outlineLevel="0" collapsed="false">
      <c r="A28" s="2" t="s">
        <v>233</v>
      </c>
      <c r="B28" s="24" t="s">
        <v>234</v>
      </c>
      <c r="F28" s="7" t="n">
        <v>0</v>
      </c>
      <c r="G28" s="7" t="n">
        <v>0</v>
      </c>
      <c r="H28" s="7" t="n">
        <v>0</v>
      </c>
      <c r="I28" s="7" t="n">
        <v>0</v>
      </c>
      <c r="J28" s="7" t="n">
        <v>0</v>
      </c>
      <c r="K28" s="7" t="n">
        <v>0</v>
      </c>
      <c r="L28" s="7" t="n">
        <v>15000</v>
      </c>
      <c r="M28" s="7" t="n">
        <v>36410</v>
      </c>
      <c r="N28" s="7" t="n">
        <v>298186</v>
      </c>
      <c r="O28" s="7" t="n">
        <v>261372</v>
      </c>
      <c r="P28" s="7" t="n">
        <v>238020</v>
      </c>
      <c r="Q28" s="7" t="n">
        <v>227934</v>
      </c>
      <c r="R28" s="7" t="n">
        <v>937939</v>
      </c>
      <c r="S28" s="7" t="n">
        <v>944999</v>
      </c>
      <c r="T28" s="7" t="n">
        <v>927558</v>
      </c>
      <c r="U28" s="7" t="n">
        <v>903045</v>
      </c>
      <c r="V28" s="7" t="n">
        <v>890511</v>
      </c>
      <c r="W28" s="7" t="n">
        <v>886277</v>
      </c>
      <c r="X28" s="7" t="n">
        <v>873416</v>
      </c>
      <c r="Y28" s="7" t="n">
        <v>905437</v>
      </c>
      <c r="Z28" s="7" t="n">
        <v>839991</v>
      </c>
      <c r="AA28" s="7" t="n">
        <v>836193</v>
      </c>
      <c r="AB28" s="7" t="n">
        <v>838857</v>
      </c>
      <c r="AC28" s="7" t="n">
        <v>845646</v>
      </c>
      <c r="AD28" s="7" t="n">
        <v>835459</v>
      </c>
      <c r="AE28" s="7" t="n">
        <v>918468</v>
      </c>
      <c r="AF28" s="7" t="n">
        <v>908592</v>
      </c>
      <c r="AG28" s="7" t="n">
        <v>896830</v>
      </c>
      <c r="AH28" s="7" t="n">
        <v>911693</v>
      </c>
      <c r="AI28" s="7" t="n">
        <v>927743</v>
      </c>
      <c r="AJ28" s="7" t="n">
        <v>918716</v>
      </c>
      <c r="AK28" s="7" t="n">
        <v>965620</v>
      </c>
      <c r="AL28" s="7" t="n">
        <v>946110</v>
      </c>
      <c r="AM28" s="7" t="n">
        <v>927695</v>
      </c>
      <c r="AN28" s="7" t="n">
        <v>931633</v>
      </c>
      <c r="AO28" s="7" t="n">
        <v>956582</v>
      </c>
      <c r="AP28" s="9" t="n">
        <f aca="false">SUM(F28:M28)</f>
        <v>51410</v>
      </c>
      <c r="AQ28" s="9" t="n">
        <f aca="false">SUM(N28:Y28)</f>
        <v>8294694</v>
      </c>
      <c r="AR28" s="9" t="n">
        <f aca="false">SUM(Z28:AK28)</f>
        <v>10643808</v>
      </c>
      <c r="AS28" s="9" t="n">
        <f aca="false">SUM(AL28:AO28)</f>
        <v>3762020</v>
      </c>
      <c r="AT28" s="17" t="s">
        <v>235</v>
      </c>
    </row>
    <row r="29" customFormat="false" ht="15" hidden="false" customHeight="false" outlineLevel="0" collapsed="false">
      <c r="A29" s="2" t="s">
        <v>236</v>
      </c>
      <c r="B29" s="24" t="s">
        <v>237</v>
      </c>
      <c r="F29" s="7" t="n">
        <v>0</v>
      </c>
      <c r="G29" s="7" t="n">
        <v>5141680</v>
      </c>
      <c r="H29" s="7" t="n">
        <v>5141680</v>
      </c>
      <c r="I29" s="7" t="n">
        <v>4113344</v>
      </c>
      <c r="J29" s="7" t="n">
        <v>3085008</v>
      </c>
      <c r="K29" s="7" t="n">
        <v>2056672</v>
      </c>
      <c r="L29" s="7" t="n">
        <v>2056672</v>
      </c>
      <c r="M29" s="7" t="n">
        <v>2056671</v>
      </c>
      <c r="N29" s="7" t="n">
        <v>0</v>
      </c>
      <c r="O29" s="7" t="n">
        <v>0</v>
      </c>
      <c r="P29" s="7" t="n">
        <v>0</v>
      </c>
      <c r="Q29" s="7" t="n">
        <v>0</v>
      </c>
      <c r="R29" s="7" t="n">
        <v>7000000</v>
      </c>
      <c r="S29" s="7" t="n">
        <v>7000000</v>
      </c>
      <c r="T29" s="7" t="n">
        <v>7000000</v>
      </c>
      <c r="U29" s="7" t="n">
        <v>7000000</v>
      </c>
      <c r="V29" s="7" t="n">
        <v>7000000</v>
      </c>
      <c r="W29" s="7" t="n">
        <v>7000000</v>
      </c>
      <c r="X29" s="7" t="n">
        <v>23000000</v>
      </c>
      <c r="Y29" s="7" t="n">
        <v>16000000</v>
      </c>
      <c r="Z29" s="7" t="n">
        <v>16000000</v>
      </c>
      <c r="AA29" s="7" t="n">
        <v>16000000</v>
      </c>
      <c r="AB29" s="7" t="n">
        <v>16000000</v>
      </c>
      <c r="AC29" s="7" t="n">
        <v>16000000</v>
      </c>
      <c r="AD29" s="7" t="n">
        <v>16000000</v>
      </c>
      <c r="AE29" s="7" t="n">
        <v>16000000</v>
      </c>
      <c r="AF29" s="7" t="n">
        <v>16000000</v>
      </c>
      <c r="AG29" s="7" t="n">
        <v>16000000</v>
      </c>
      <c r="AH29" s="7" t="n">
        <v>16000000</v>
      </c>
      <c r="AI29" s="7" t="n">
        <v>16000000</v>
      </c>
      <c r="AJ29" s="7" t="n">
        <v>16000000</v>
      </c>
      <c r="AK29" s="7" t="n">
        <v>16000000</v>
      </c>
      <c r="AL29" s="7" t="n">
        <v>16000000</v>
      </c>
      <c r="AM29" s="7" t="n">
        <v>16000000</v>
      </c>
      <c r="AN29" s="7" t="n">
        <v>16000000</v>
      </c>
      <c r="AO29" s="7" t="n">
        <v>16000000</v>
      </c>
      <c r="AP29" s="9" t="n">
        <f aca="false">SUM(F29:M29)</f>
        <v>23651727</v>
      </c>
      <c r="AQ29" s="9" t="n">
        <f aca="false">SUM(N29:Y29)</f>
        <v>81000000</v>
      </c>
      <c r="AR29" s="9" t="n">
        <f aca="false">SUM(Z29:AK29)</f>
        <v>192000000</v>
      </c>
      <c r="AS29" s="9" t="n">
        <f aca="false">SUM(AL29:AO29)</f>
        <v>64000000</v>
      </c>
      <c r="AT29" s="17" t="s">
        <v>238</v>
      </c>
    </row>
    <row r="30" customFormat="false" ht="15" hidden="false" customHeight="false" outlineLevel="0" collapsed="false">
      <c r="A30" s="3" t="s">
        <v>18</v>
      </c>
      <c r="B30" s="10"/>
      <c r="F30" s="32" t="n">
        <f aca="false">F31+F32</f>
        <v>0</v>
      </c>
      <c r="G30" s="32" t="n">
        <f aca="false">G31+G32</f>
        <v>0</v>
      </c>
      <c r="H30" s="32" t="n">
        <f aca="false">H31+H32</f>
        <v>0</v>
      </c>
      <c r="I30" s="32" t="n">
        <f aca="false">I31+I32</f>
        <v>0</v>
      </c>
      <c r="J30" s="32" t="n">
        <f aca="false">J31+J32</f>
        <v>0</v>
      </c>
      <c r="K30" s="32" t="n">
        <f aca="false">K31+K32</f>
        <v>0</v>
      </c>
      <c r="L30" s="32" t="n">
        <f aca="false">L31+L32</f>
        <v>0</v>
      </c>
      <c r="M30" s="32" t="n">
        <f aca="false">M31+M32</f>
        <v>438822</v>
      </c>
      <c r="N30" s="32" t="n">
        <f aca="false">N31+N32</f>
        <v>431667</v>
      </c>
      <c r="O30" s="32" t="n">
        <f aca="false">O31+O32</f>
        <v>431667</v>
      </c>
      <c r="P30" s="32" t="n">
        <f aca="false">P31+P32</f>
        <v>431667</v>
      </c>
      <c r="Q30" s="32" t="n">
        <f aca="false">Q31+Q32</f>
        <v>431667</v>
      </c>
      <c r="R30" s="32" t="n">
        <f aca="false">R31+R32</f>
        <v>431667</v>
      </c>
      <c r="S30" s="32" t="n">
        <f aca="false">S31+S32</f>
        <v>431667</v>
      </c>
      <c r="T30" s="32" t="n">
        <f aca="false">T31+T32</f>
        <v>431667</v>
      </c>
      <c r="U30" s="32" t="n">
        <f aca="false">U31+U32</f>
        <v>431667</v>
      </c>
      <c r="V30" s="32" t="n">
        <f aca="false">V31+V32</f>
        <v>431667</v>
      </c>
      <c r="W30" s="32" t="n">
        <f aca="false">W31+W32</f>
        <v>431667</v>
      </c>
      <c r="X30" s="32" t="n">
        <f aca="false">X31+X32</f>
        <v>431667</v>
      </c>
      <c r="Y30" s="32" t="n">
        <f aca="false">Y31+Y32</f>
        <v>431667</v>
      </c>
      <c r="Z30" s="32" t="n">
        <f aca="false">Z31+Z32</f>
        <v>431667</v>
      </c>
      <c r="AA30" s="32" t="n">
        <f aca="false">AA31+AA32</f>
        <v>431667</v>
      </c>
      <c r="AB30" s="32" t="n">
        <f aca="false">AB31+AB32</f>
        <v>431667</v>
      </c>
      <c r="AC30" s="32" t="n">
        <f aca="false">AC31+AC32</f>
        <v>431667</v>
      </c>
      <c r="AD30" s="32" t="n">
        <f aca="false">AD31+AD32</f>
        <v>431667</v>
      </c>
      <c r="AE30" s="32" t="n">
        <f aca="false">AE31+AE32</f>
        <v>431667</v>
      </c>
      <c r="AF30" s="32" t="n">
        <f aca="false">AF31+AF32</f>
        <v>431667</v>
      </c>
      <c r="AG30" s="32" t="n">
        <f aca="false">AG31+AG32</f>
        <v>431667</v>
      </c>
      <c r="AH30" s="32" t="n">
        <f aca="false">AH31+AH32</f>
        <v>431667</v>
      </c>
      <c r="AI30" s="32" t="n">
        <f aca="false">AI31+AI32</f>
        <v>431667</v>
      </c>
      <c r="AJ30" s="32" t="n">
        <f aca="false">AJ31+AJ32</f>
        <v>431667</v>
      </c>
      <c r="AK30" s="32" t="n">
        <f aca="false">AK31+AK32</f>
        <v>420093</v>
      </c>
      <c r="AL30" s="32" t="n">
        <f aca="false">AL31+AL32</f>
        <v>408519</v>
      </c>
      <c r="AM30" s="32" t="n">
        <f aca="false">AM31+AM32</f>
        <v>396944</v>
      </c>
      <c r="AN30" s="32" t="n">
        <f aca="false">AN31+AN32</f>
        <v>385370</v>
      </c>
      <c r="AO30" s="32" t="n">
        <f aca="false">AO31+AO32</f>
        <v>373796</v>
      </c>
      <c r="AP30" s="32" t="n">
        <f aca="false">AP31+AP32</f>
        <v>438822</v>
      </c>
      <c r="AQ30" s="32" t="n">
        <f aca="false">AQ31+AQ32</f>
        <v>5180004</v>
      </c>
      <c r="AR30" s="32" t="n">
        <f aca="false">AR31+AR32</f>
        <v>5168430</v>
      </c>
      <c r="AS30" s="32" t="n">
        <f aca="false">AS31+AS32</f>
        <v>1564629</v>
      </c>
      <c r="AT30" s="17" t="s">
        <v>239</v>
      </c>
    </row>
    <row r="31" customFormat="false" ht="15" hidden="false" customHeight="false" outlineLevel="0" collapsed="false">
      <c r="A31" s="2" t="s">
        <v>240</v>
      </c>
      <c r="B31" s="10" t="s">
        <v>241</v>
      </c>
      <c r="F31" s="7" t="n">
        <v>0</v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435982</v>
      </c>
      <c r="N31" s="7" t="n">
        <v>416667</v>
      </c>
      <c r="O31" s="7" t="n">
        <v>416667</v>
      </c>
      <c r="P31" s="7" t="n">
        <v>416667</v>
      </c>
      <c r="Q31" s="7" t="n">
        <v>416667</v>
      </c>
      <c r="R31" s="7" t="n">
        <v>416667</v>
      </c>
      <c r="S31" s="7" t="n">
        <v>416667</v>
      </c>
      <c r="T31" s="7" t="n">
        <v>416667</v>
      </c>
      <c r="U31" s="7" t="n">
        <v>416667</v>
      </c>
      <c r="V31" s="7" t="n">
        <v>416667</v>
      </c>
      <c r="W31" s="7" t="n">
        <v>416667</v>
      </c>
      <c r="X31" s="7" t="n">
        <v>416667</v>
      </c>
      <c r="Y31" s="7" t="n">
        <v>416667</v>
      </c>
      <c r="Z31" s="7" t="n">
        <v>416667</v>
      </c>
      <c r="AA31" s="7" t="n">
        <v>416667</v>
      </c>
      <c r="AB31" s="7" t="n">
        <v>416667</v>
      </c>
      <c r="AC31" s="7" t="n">
        <v>416667</v>
      </c>
      <c r="AD31" s="7" t="n">
        <v>416667</v>
      </c>
      <c r="AE31" s="7" t="n">
        <v>416667</v>
      </c>
      <c r="AF31" s="7" t="n">
        <v>416667</v>
      </c>
      <c r="AG31" s="7" t="n">
        <v>416667</v>
      </c>
      <c r="AH31" s="7" t="n">
        <v>416667</v>
      </c>
      <c r="AI31" s="7" t="n">
        <v>416667</v>
      </c>
      <c r="AJ31" s="7" t="n">
        <v>416667</v>
      </c>
      <c r="AK31" s="7" t="n">
        <v>405093</v>
      </c>
      <c r="AL31" s="7" t="n">
        <v>393519</v>
      </c>
      <c r="AM31" s="7" t="n">
        <v>381944</v>
      </c>
      <c r="AN31" s="7" t="n">
        <v>370370</v>
      </c>
      <c r="AO31" s="7" t="n">
        <v>358796</v>
      </c>
      <c r="AP31" s="9" t="n">
        <f aca="false">SUM(F31:M31)</f>
        <v>435982</v>
      </c>
      <c r="AQ31" s="9" t="n">
        <f aca="false">SUM(N31:Y31)</f>
        <v>5000004</v>
      </c>
      <c r="AR31" s="9" t="n">
        <f aca="false">SUM(Z31:AK31)</f>
        <v>4988430</v>
      </c>
      <c r="AS31" s="9" t="n">
        <f aca="false">SUM(AL31:AO31)</f>
        <v>1504629</v>
      </c>
      <c r="AT31" s="17" t="s">
        <v>242</v>
      </c>
    </row>
    <row r="32" customFormat="false" ht="15" hidden="false" customHeight="false" outlineLevel="0" collapsed="false">
      <c r="A32" s="2" t="s">
        <v>243</v>
      </c>
      <c r="F32" s="7" t="n">
        <v>0</v>
      </c>
      <c r="G32" s="7" t="n">
        <v>0</v>
      </c>
      <c r="H32" s="7" t="n">
        <v>0</v>
      </c>
      <c r="I32" s="7" t="n">
        <v>0</v>
      </c>
      <c r="J32" s="7" t="n">
        <v>0</v>
      </c>
      <c r="K32" s="7" t="n">
        <v>0</v>
      </c>
      <c r="L32" s="7" t="n">
        <v>0</v>
      </c>
      <c r="M32" s="7" t="n">
        <v>2840</v>
      </c>
      <c r="N32" s="7" t="n">
        <v>15000</v>
      </c>
      <c r="O32" s="7" t="n">
        <v>15000</v>
      </c>
      <c r="P32" s="7" t="n">
        <v>15000</v>
      </c>
      <c r="Q32" s="7" t="n">
        <v>15000</v>
      </c>
      <c r="R32" s="7" t="n">
        <v>15000</v>
      </c>
      <c r="S32" s="7" t="n">
        <v>15000</v>
      </c>
      <c r="T32" s="7" t="n">
        <v>15000</v>
      </c>
      <c r="U32" s="7" t="n">
        <v>15000</v>
      </c>
      <c r="V32" s="7" t="n">
        <v>15000</v>
      </c>
      <c r="W32" s="7" t="n">
        <v>15000</v>
      </c>
      <c r="X32" s="7" t="n">
        <v>15000</v>
      </c>
      <c r="Y32" s="7" t="n">
        <v>15000</v>
      </c>
      <c r="Z32" s="7" t="n">
        <v>15000</v>
      </c>
      <c r="AA32" s="7" t="n">
        <v>15000</v>
      </c>
      <c r="AB32" s="7" t="n">
        <v>15000</v>
      </c>
      <c r="AC32" s="7" t="n">
        <v>15000</v>
      </c>
      <c r="AD32" s="7" t="n">
        <v>15000</v>
      </c>
      <c r="AE32" s="7" t="n">
        <v>15000</v>
      </c>
      <c r="AF32" s="7" t="n">
        <v>15000</v>
      </c>
      <c r="AG32" s="7" t="n">
        <v>15000</v>
      </c>
      <c r="AH32" s="7" t="n">
        <v>15000</v>
      </c>
      <c r="AI32" s="7" t="n">
        <v>15000</v>
      </c>
      <c r="AJ32" s="7" t="n">
        <v>15000</v>
      </c>
      <c r="AK32" s="7" t="n">
        <v>15000</v>
      </c>
      <c r="AL32" s="7" t="n">
        <v>15000</v>
      </c>
      <c r="AM32" s="7" t="n">
        <v>15000</v>
      </c>
      <c r="AN32" s="7" t="n">
        <v>15000</v>
      </c>
      <c r="AO32" s="7" t="n">
        <v>15000</v>
      </c>
      <c r="AP32" s="9" t="n">
        <f aca="false">SUM(F32:M32)</f>
        <v>2840</v>
      </c>
      <c r="AQ32" s="9" t="n">
        <f aca="false">SUM(N32:Y32)</f>
        <v>180000</v>
      </c>
      <c r="AR32" s="9" t="n">
        <f aca="false">SUM(Z32:AK32)</f>
        <v>180000</v>
      </c>
      <c r="AS32" s="9" t="n">
        <f aca="false">SUM(AL32:AO32)</f>
        <v>60000</v>
      </c>
      <c r="AT32" s="17" t="s">
        <v>244</v>
      </c>
    </row>
    <row r="33" customFormat="false" ht="15" hidden="false" customHeight="false" outlineLevel="0" collapsed="false">
      <c r="A33" s="3" t="s">
        <v>245</v>
      </c>
      <c r="B33" s="10"/>
      <c r="F33" s="32" t="n">
        <f aca="false">F24+F27-F30</f>
        <v>-7093049</v>
      </c>
      <c r="G33" s="32" t="n">
        <f aca="false">G24+G27-G30</f>
        <v>-3614480</v>
      </c>
      <c r="H33" s="32" t="n">
        <f aca="false">H24+H27-H30</f>
        <v>-3034280</v>
      </c>
      <c r="I33" s="32" t="n">
        <f aca="false">I24+I27-I30</f>
        <v>-1681108</v>
      </c>
      <c r="J33" s="32" t="n">
        <f aca="false">J24+J27-J30</f>
        <v>-2238471</v>
      </c>
      <c r="K33" s="32" t="n">
        <f aca="false">K24+K27-K30</f>
        <v>-2521414</v>
      </c>
      <c r="L33" s="32" t="n">
        <f aca="false">L24+L27-L30</f>
        <v>-1364467</v>
      </c>
      <c r="M33" s="32" t="n">
        <f aca="false">M24+M27-M30</f>
        <v>-1479256</v>
      </c>
      <c r="N33" s="32" t="n">
        <f aca="false">N24+N27-N30</f>
        <v>-15155719</v>
      </c>
      <c r="O33" s="32" t="n">
        <f aca="false">O24+O27-O30</f>
        <v>-17052886</v>
      </c>
      <c r="P33" s="32" t="n">
        <f aca="false">P24+P27-P30</f>
        <v>-15216341</v>
      </c>
      <c r="Q33" s="32" t="n">
        <f aca="false">Q24+Q27-Q30</f>
        <v>-20103387</v>
      </c>
      <c r="R33" s="32" t="n">
        <f aca="false">R24+R27-R30</f>
        <v>-12861108</v>
      </c>
      <c r="S33" s="32" t="n">
        <f aca="false">S24+S27-S30</f>
        <v>-12241304</v>
      </c>
      <c r="T33" s="32" t="n">
        <f aca="false">T24+T27-T30</f>
        <v>-15090537</v>
      </c>
      <c r="U33" s="32" t="n">
        <f aca="false">U24+U27-U30</f>
        <v>-15311319</v>
      </c>
      <c r="V33" s="32" t="n">
        <f aca="false">V24+V27-V30</f>
        <v>-11635275</v>
      </c>
      <c r="W33" s="32" t="n">
        <f aca="false">W24+W27-W30</f>
        <v>42210</v>
      </c>
      <c r="X33" s="32" t="n">
        <f aca="false">X24+X27-X30</f>
        <v>5840747</v>
      </c>
      <c r="Y33" s="32" t="n">
        <f aca="false">Y24+Y27-Y30</f>
        <v>-1579129</v>
      </c>
      <c r="Z33" s="32" t="n">
        <f aca="false">Z24+Z27-Z30</f>
        <v>-4904620</v>
      </c>
      <c r="AA33" s="32" t="n">
        <f aca="false">AA24+AA27-AA30</f>
        <v>-6588294</v>
      </c>
      <c r="AB33" s="32" t="n">
        <f aca="false">AB24+AB27-AB30</f>
        <v>-5876866</v>
      </c>
      <c r="AC33" s="32" t="n">
        <f aca="false">AC24+AC27-AC30</f>
        <v>13902168</v>
      </c>
      <c r="AD33" s="32" t="n">
        <f aca="false">AD24+AD27-AD30</f>
        <v>813330</v>
      </c>
      <c r="AE33" s="32" t="n">
        <f aca="false">AE24+AE27-AE30</f>
        <v>-3205549</v>
      </c>
      <c r="AF33" s="32" t="n">
        <f aca="false">AF24+AF27-AF30</f>
        <v>398224</v>
      </c>
      <c r="AG33" s="32" t="n">
        <f aca="false">AG24+AG27-AG30</f>
        <v>-229</v>
      </c>
      <c r="AH33" s="32" t="n">
        <f aca="false">AH24+AH27-AH30</f>
        <v>-1897810</v>
      </c>
      <c r="AI33" s="32" t="n">
        <f aca="false">AI24+AI27-AI30</f>
        <v>21020763</v>
      </c>
      <c r="AJ33" s="32" t="n">
        <f aca="false">AJ24+AJ27-AJ30</f>
        <v>3098098</v>
      </c>
      <c r="AK33" s="32" t="n">
        <f aca="false">AK24+AK27-AK30</f>
        <v>1732871</v>
      </c>
      <c r="AL33" s="32" t="n">
        <f aca="false">AL24+AL27-AL30</f>
        <v>2913364</v>
      </c>
      <c r="AM33" s="32" t="n">
        <f aca="false">AM24+AM27-AM30</f>
        <v>-186855</v>
      </c>
      <c r="AN33" s="32" t="n">
        <f aca="false">AN24+AN27-AN30</f>
        <v>3008760</v>
      </c>
      <c r="AO33" s="32" t="n">
        <f aca="false">AO24+AO27-AO30</f>
        <v>31628416</v>
      </c>
      <c r="AP33" s="32" t="n">
        <f aca="false">AP24+AP27-AP30</f>
        <v>-23026525</v>
      </c>
      <c r="AQ33" s="32" t="n">
        <f aca="false">AQ24+AQ27-AQ30</f>
        <v>-130364048</v>
      </c>
      <c r="AR33" s="32" t="n">
        <f aca="false">AR24+AR27-AR30</f>
        <v>18492086</v>
      </c>
      <c r="AS33" s="32" t="n">
        <f aca="false">AS24+AS27-AS30</f>
        <v>37363685</v>
      </c>
      <c r="AT33" s="17" t="s">
        <v>246</v>
      </c>
    </row>
    <row r="34" customFormat="false" ht="15" hidden="false" customHeight="false" outlineLevel="0" collapsed="false">
      <c r="A34" s="2" t="s">
        <v>247</v>
      </c>
      <c r="B34" s="10" t="s">
        <v>248</v>
      </c>
      <c r="F34" s="7" t="n">
        <v>0</v>
      </c>
      <c r="G34" s="7" t="n">
        <v>0</v>
      </c>
      <c r="H34" s="7" t="n">
        <v>0</v>
      </c>
      <c r="I34" s="7" t="n">
        <v>0</v>
      </c>
      <c r="J34" s="7" t="n">
        <v>0</v>
      </c>
      <c r="K34" s="7" t="n">
        <v>0</v>
      </c>
      <c r="L34" s="7" t="n">
        <v>0</v>
      </c>
      <c r="M34" s="7" t="n">
        <v>0</v>
      </c>
      <c r="N34" s="7" t="n">
        <v>0</v>
      </c>
      <c r="O34" s="7" t="n">
        <v>0</v>
      </c>
      <c r="P34" s="7" t="n">
        <v>0</v>
      </c>
      <c r="Q34" s="7" t="n">
        <v>0</v>
      </c>
      <c r="R34" s="7" t="n">
        <v>0</v>
      </c>
      <c r="S34" s="7" t="n">
        <v>0</v>
      </c>
      <c r="T34" s="7" t="n">
        <v>0</v>
      </c>
      <c r="U34" s="7" t="n">
        <v>0</v>
      </c>
      <c r="V34" s="7" t="n">
        <v>0</v>
      </c>
      <c r="W34" s="7" t="n">
        <v>0</v>
      </c>
      <c r="X34" s="7" t="n">
        <v>0</v>
      </c>
      <c r="Y34" s="7" t="n">
        <v>0</v>
      </c>
      <c r="Z34" s="7" t="n">
        <v>0</v>
      </c>
      <c r="AA34" s="7" t="n">
        <v>0</v>
      </c>
      <c r="AB34" s="7" t="n">
        <v>0</v>
      </c>
      <c r="AC34" s="7" t="n">
        <v>0</v>
      </c>
      <c r="AD34" s="7" t="n">
        <v>0</v>
      </c>
      <c r="AE34" s="7" t="n">
        <v>0</v>
      </c>
      <c r="AF34" s="7" t="n">
        <v>0</v>
      </c>
      <c r="AG34" s="7" t="n">
        <v>0</v>
      </c>
      <c r="AH34" s="7" t="n">
        <v>0</v>
      </c>
      <c r="AI34" s="7" t="n">
        <v>0</v>
      </c>
      <c r="AJ34" s="7" t="n">
        <v>0</v>
      </c>
      <c r="AK34" s="7" t="n">
        <v>0</v>
      </c>
      <c r="AL34" s="7" t="n">
        <v>0</v>
      </c>
      <c r="AM34" s="7" t="n">
        <v>0</v>
      </c>
      <c r="AN34" s="7" t="n">
        <v>0</v>
      </c>
      <c r="AO34" s="7" t="n">
        <v>0</v>
      </c>
      <c r="AP34" s="9" t="n">
        <f aca="false">SUM(F34:M34)</f>
        <v>0</v>
      </c>
      <c r="AQ34" s="9" t="n">
        <f aca="false">SUM(N34:Y34)</f>
        <v>0</v>
      </c>
      <c r="AR34" s="9" t="n">
        <f aca="false">SUM(Z34:AK34)</f>
        <v>0</v>
      </c>
      <c r="AS34" s="9" t="n">
        <f aca="false">SUM(AL34:AO34)</f>
        <v>0</v>
      </c>
      <c r="AT34" s="17" t="s">
        <v>249</v>
      </c>
    </row>
    <row r="35" customFormat="false" ht="15" hidden="false" customHeight="false" outlineLevel="0" collapsed="false">
      <c r="A35" s="21" t="s">
        <v>250</v>
      </c>
      <c r="B35" s="25"/>
      <c r="C35" s="22"/>
      <c r="D35" s="22"/>
      <c r="E35" s="22"/>
      <c r="F35" s="23" t="n">
        <f aca="false">F33-F34</f>
        <v>-7093049</v>
      </c>
      <c r="G35" s="23" t="n">
        <f aca="false">G33-G34</f>
        <v>-3614480</v>
      </c>
      <c r="H35" s="23" t="n">
        <f aca="false">H33-H34</f>
        <v>-3034280</v>
      </c>
      <c r="I35" s="23" t="n">
        <f aca="false">I33-I34</f>
        <v>-1681108</v>
      </c>
      <c r="J35" s="23" t="n">
        <f aca="false">J33-J34</f>
        <v>-2238471</v>
      </c>
      <c r="K35" s="23" t="n">
        <f aca="false">K33-K34</f>
        <v>-2521414</v>
      </c>
      <c r="L35" s="23" t="n">
        <f aca="false">L33-L34</f>
        <v>-1364467</v>
      </c>
      <c r="M35" s="23" t="n">
        <f aca="false">M33-M34</f>
        <v>-1479256</v>
      </c>
      <c r="N35" s="23" t="n">
        <f aca="false">N33-N34</f>
        <v>-15155719</v>
      </c>
      <c r="O35" s="23" t="n">
        <f aca="false">O33-O34</f>
        <v>-17052886</v>
      </c>
      <c r="P35" s="23" t="n">
        <f aca="false">P33-P34</f>
        <v>-15216341</v>
      </c>
      <c r="Q35" s="23" t="n">
        <f aca="false">Q33-Q34</f>
        <v>-20103387</v>
      </c>
      <c r="R35" s="23" t="n">
        <f aca="false">R33-R34</f>
        <v>-12861108</v>
      </c>
      <c r="S35" s="23" t="n">
        <f aca="false">S33-S34</f>
        <v>-12241304</v>
      </c>
      <c r="T35" s="23" t="n">
        <f aca="false">T33-T34</f>
        <v>-15090537</v>
      </c>
      <c r="U35" s="23" t="n">
        <f aca="false">U33-U34</f>
        <v>-15311319</v>
      </c>
      <c r="V35" s="23" t="n">
        <f aca="false">V33-V34</f>
        <v>-11635275</v>
      </c>
      <c r="W35" s="23" t="n">
        <f aca="false">W33-W34</f>
        <v>42210</v>
      </c>
      <c r="X35" s="23" t="n">
        <f aca="false">X33-X34</f>
        <v>5840747</v>
      </c>
      <c r="Y35" s="23" t="n">
        <f aca="false">Y33-Y34</f>
        <v>-1579129</v>
      </c>
      <c r="Z35" s="23" t="n">
        <f aca="false">Z33-Z34</f>
        <v>-4904620</v>
      </c>
      <c r="AA35" s="23" t="n">
        <f aca="false">AA33-AA34</f>
        <v>-6588294</v>
      </c>
      <c r="AB35" s="23" t="n">
        <f aca="false">AB33-AB34</f>
        <v>-5876866</v>
      </c>
      <c r="AC35" s="23" t="n">
        <f aca="false">AC33-AC34</f>
        <v>13902168</v>
      </c>
      <c r="AD35" s="23" t="n">
        <f aca="false">AD33-AD34</f>
        <v>813330</v>
      </c>
      <c r="AE35" s="23" t="n">
        <f aca="false">AE33-AE34</f>
        <v>-3205549</v>
      </c>
      <c r="AF35" s="23" t="n">
        <f aca="false">AF33-AF34</f>
        <v>398224</v>
      </c>
      <c r="AG35" s="23" t="n">
        <f aca="false">AG33-AG34</f>
        <v>-229</v>
      </c>
      <c r="AH35" s="23" t="n">
        <f aca="false">AH33-AH34</f>
        <v>-1897810</v>
      </c>
      <c r="AI35" s="23" t="n">
        <f aca="false">AI33-AI34</f>
        <v>21020763</v>
      </c>
      <c r="AJ35" s="23" t="n">
        <f aca="false">AJ33-AJ34</f>
        <v>3098098</v>
      </c>
      <c r="AK35" s="23" t="n">
        <f aca="false">AK33-AK34</f>
        <v>1732871</v>
      </c>
      <c r="AL35" s="23" t="n">
        <f aca="false">AL33-AL34</f>
        <v>2913364</v>
      </c>
      <c r="AM35" s="23" t="n">
        <f aca="false">AM33-AM34</f>
        <v>-186855</v>
      </c>
      <c r="AN35" s="23" t="n">
        <f aca="false">AN33-AN34</f>
        <v>3008760</v>
      </c>
      <c r="AO35" s="23" t="n">
        <f aca="false">AO33-AO34</f>
        <v>31628416</v>
      </c>
      <c r="AP35" s="23" t="n">
        <f aca="false">AP33-AP34</f>
        <v>-23026525</v>
      </c>
      <c r="AQ35" s="23" t="n">
        <f aca="false">AQ33-AQ34</f>
        <v>-130364048</v>
      </c>
      <c r="AR35" s="23" t="n">
        <f aca="false">AR33-AR34</f>
        <v>18492086</v>
      </c>
      <c r="AS35" s="23" t="n">
        <f aca="false">AS33-AS34</f>
        <v>37363685</v>
      </c>
      <c r="AT35" s="17" t="s">
        <v>251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T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4"/>
    <col collapsed="false" customWidth="true" hidden="false" outlineLevel="0" max="3" min="3" style="0" width="30"/>
    <col collapsed="false" customWidth="true" hidden="false" outlineLevel="0" max="4" min="4" style="0" width="40"/>
    <col collapsed="false" customWidth="true" hidden="false" outlineLevel="0" max="5" min="5" style="0" width="26"/>
    <col collapsed="false" customWidth="true" hidden="false" outlineLevel="0" max="41" min="6" style="0" width="13"/>
    <col collapsed="false" customWidth="true" hidden="false" outlineLevel="0" max="45" min="42" style="0" width="16"/>
    <col collapsed="false" customWidth="true" hidden="false" outlineLevel="0" max="46" min="46" style="0" width="40"/>
  </cols>
  <sheetData>
    <row r="1" customFormat="false" ht="17.15" hidden="false" customHeight="false" outlineLevel="0" collapsed="false">
      <c r="A1" s="1" t="s">
        <v>252</v>
      </c>
    </row>
    <row r="2" customFormat="false" ht="15" hidden="false" customHeight="false" outlineLevel="0" collapsed="false">
      <c r="A2" s="10" t="s">
        <v>253</v>
      </c>
    </row>
    <row r="3" customFormat="false" ht="30" hidden="false" customHeight="true" outlineLevel="0" collapsed="false">
      <c r="A3" s="11" t="s">
        <v>10</v>
      </c>
      <c r="B3" s="11" t="s">
        <v>208</v>
      </c>
      <c r="C3" s="11"/>
      <c r="D3" s="11"/>
      <c r="E3" s="11"/>
      <c r="F3" s="12" t="s">
        <v>31</v>
      </c>
      <c r="G3" s="12" t="s">
        <v>32</v>
      </c>
      <c r="H3" s="12" t="s">
        <v>33</v>
      </c>
      <c r="I3" s="12" t="s">
        <v>34</v>
      </c>
      <c r="J3" s="12" t="s">
        <v>35</v>
      </c>
      <c r="K3" s="12" t="s">
        <v>36</v>
      </c>
      <c r="L3" s="12" t="s">
        <v>37</v>
      </c>
      <c r="M3" s="12" t="s">
        <v>38</v>
      </c>
      <c r="N3" s="12" t="s">
        <v>39</v>
      </c>
      <c r="O3" s="12" t="s">
        <v>40</v>
      </c>
      <c r="P3" s="12" t="s">
        <v>41</v>
      </c>
      <c r="Q3" s="12" t="s">
        <v>42</v>
      </c>
      <c r="R3" s="12" t="s">
        <v>43</v>
      </c>
      <c r="S3" s="12" t="s">
        <v>44</v>
      </c>
      <c r="T3" s="12" t="s">
        <v>45</v>
      </c>
      <c r="U3" s="12" t="s">
        <v>46</v>
      </c>
      <c r="V3" s="12" t="s">
        <v>47</v>
      </c>
      <c r="W3" s="12" t="s">
        <v>48</v>
      </c>
      <c r="X3" s="12" t="s">
        <v>49</v>
      </c>
      <c r="Y3" s="12" t="s">
        <v>50</v>
      </c>
      <c r="Z3" s="12" t="s">
        <v>51</v>
      </c>
      <c r="AA3" s="12" t="s">
        <v>52</v>
      </c>
      <c r="AB3" s="12" t="s">
        <v>53</v>
      </c>
      <c r="AC3" s="12" t="s">
        <v>54</v>
      </c>
      <c r="AD3" s="12" t="s">
        <v>55</v>
      </c>
      <c r="AE3" s="12" t="s">
        <v>56</v>
      </c>
      <c r="AF3" s="12" t="s">
        <v>57</v>
      </c>
      <c r="AG3" s="12" t="s">
        <v>58</v>
      </c>
      <c r="AH3" s="12" t="s">
        <v>59</v>
      </c>
      <c r="AI3" s="12" t="s">
        <v>60</v>
      </c>
      <c r="AJ3" s="12" t="s">
        <v>61</v>
      </c>
      <c r="AK3" s="12" t="s">
        <v>62</v>
      </c>
      <c r="AL3" s="12" t="s">
        <v>63</v>
      </c>
      <c r="AM3" s="12" t="s">
        <v>64</v>
      </c>
      <c r="AN3" s="12" t="s">
        <v>65</v>
      </c>
      <c r="AO3" s="12" t="s">
        <v>66</v>
      </c>
      <c r="AP3" s="12" t="s">
        <v>67</v>
      </c>
      <c r="AQ3" s="12" t="s">
        <v>68</v>
      </c>
      <c r="AR3" s="12" t="s">
        <v>69</v>
      </c>
      <c r="AS3" s="12" t="s">
        <v>70</v>
      </c>
      <c r="AT3" s="11" t="s">
        <v>254</v>
      </c>
    </row>
    <row r="4" customFormat="false" ht="15" hidden="false" customHeight="false" outlineLevel="0" collapsed="false">
      <c r="A4" s="10" t="s">
        <v>72</v>
      </c>
      <c r="F4" s="13" t="s">
        <v>73</v>
      </c>
      <c r="G4" s="13" t="s">
        <v>73</v>
      </c>
      <c r="H4" s="13" t="s">
        <v>73</v>
      </c>
      <c r="I4" s="13" t="s">
        <v>73</v>
      </c>
      <c r="J4" s="13" t="s">
        <v>73</v>
      </c>
      <c r="K4" s="13" t="s">
        <v>73</v>
      </c>
      <c r="L4" s="13" t="s">
        <v>73</v>
      </c>
      <c r="M4" s="13" t="s">
        <v>73</v>
      </c>
      <c r="N4" s="14" t="s">
        <v>74</v>
      </c>
      <c r="O4" s="14" t="s">
        <v>74</v>
      </c>
      <c r="P4" s="14" t="s">
        <v>74</v>
      </c>
      <c r="Q4" s="14" t="s">
        <v>74</v>
      </c>
      <c r="R4" s="14" t="s">
        <v>74</v>
      </c>
      <c r="S4" s="14" t="s">
        <v>74</v>
      </c>
      <c r="T4" s="14" t="s">
        <v>74</v>
      </c>
      <c r="U4" s="14" t="s">
        <v>74</v>
      </c>
      <c r="V4" s="14" t="s">
        <v>74</v>
      </c>
      <c r="W4" s="15" t="s">
        <v>74</v>
      </c>
      <c r="X4" s="15" t="s">
        <v>74</v>
      </c>
      <c r="Y4" s="15" t="s">
        <v>74</v>
      </c>
      <c r="Z4" s="15" t="s">
        <v>74</v>
      </c>
      <c r="AA4" s="15" t="s">
        <v>74</v>
      </c>
      <c r="AB4" s="15" t="s">
        <v>74</v>
      </c>
      <c r="AC4" s="15" t="s">
        <v>74</v>
      </c>
      <c r="AD4" s="15" t="s">
        <v>74</v>
      </c>
      <c r="AE4" s="15" t="s">
        <v>74</v>
      </c>
      <c r="AF4" s="15" t="s">
        <v>74</v>
      </c>
      <c r="AG4" s="15" t="s">
        <v>74</v>
      </c>
      <c r="AH4" s="15" t="s">
        <v>74</v>
      </c>
      <c r="AI4" s="15" t="s">
        <v>74</v>
      </c>
      <c r="AJ4" s="15" t="s">
        <v>74</v>
      </c>
      <c r="AK4" s="15" t="s">
        <v>74</v>
      </c>
      <c r="AL4" s="15" t="s">
        <v>74</v>
      </c>
      <c r="AM4" s="15" t="s">
        <v>74</v>
      </c>
      <c r="AN4" s="15" t="s">
        <v>74</v>
      </c>
      <c r="AO4" s="15" t="s">
        <v>74</v>
      </c>
      <c r="AP4" s="16" t="s">
        <v>75</v>
      </c>
      <c r="AQ4" s="16" t="s">
        <v>75</v>
      </c>
      <c r="AR4" s="16" t="s">
        <v>75</v>
      </c>
      <c r="AS4" s="16" t="s">
        <v>75</v>
      </c>
    </row>
    <row r="5" customFormat="false" ht="15" hidden="false" customHeight="false" outlineLevel="0" collapsed="false">
      <c r="A5" s="33" t="s">
        <v>255</v>
      </c>
      <c r="B5" s="29"/>
      <c r="C5" s="19"/>
      <c r="D5" s="19"/>
      <c r="E5" s="19"/>
      <c r="F5" s="20" t="n">
        <f aca="false">F6+F7+F8+SUM(F10:F21)</f>
        <v>-4593049</v>
      </c>
      <c r="G5" s="20" t="n">
        <f aca="false">G6+G7+G8+SUM(G10:G21)</f>
        <v>-1994480</v>
      </c>
      <c r="H5" s="20" t="n">
        <f aca="false">H6+H7+H8+SUM(H10:H21)</f>
        <v>-1504280</v>
      </c>
      <c r="I5" s="20" t="n">
        <f aca="false">I6+I7+I8+SUM(I10:I21)</f>
        <v>-151108</v>
      </c>
      <c r="J5" s="20" t="n">
        <f aca="false">J6+J7+J8+SUM(J10:J21)</f>
        <v>-1118471</v>
      </c>
      <c r="K5" s="20" t="n">
        <f aca="false">K6+K7+K8+SUM(K10:K21)</f>
        <v>-151414</v>
      </c>
      <c r="L5" s="20" t="n">
        <f aca="false">L6+L7+L8+SUM(L10:L21)</f>
        <v>-2634467</v>
      </c>
      <c r="M5" s="20" t="n">
        <f aca="false">M6+M7+M8+SUM(M10:M21)</f>
        <v>937811</v>
      </c>
      <c r="N5" s="20" t="n">
        <f aca="false">N6+N7+N8+SUM(N10:N21)</f>
        <v>-19542529</v>
      </c>
      <c r="O5" s="20" t="n">
        <f aca="false">O6+O7+O8+SUM(O10:O21)</f>
        <v>-12568305</v>
      </c>
      <c r="P5" s="20" t="n">
        <f aca="false">P6+P7+P8+SUM(P10:P21)</f>
        <v>-6723648</v>
      </c>
      <c r="Q5" s="20" t="n">
        <f aca="false">Q6+Q7+Q8+SUM(Q10:Q21)</f>
        <v>-22263294</v>
      </c>
      <c r="R5" s="20" t="n">
        <f aca="false">R6+R7+R8+SUM(R10:R21)</f>
        <v>4706786</v>
      </c>
      <c r="S5" s="20" t="n">
        <f aca="false">S6+S7+S8+SUM(S10:S21)</f>
        <v>-11627272</v>
      </c>
      <c r="T5" s="20" t="n">
        <f aca="false">T6+T7+T8+SUM(T10:T21)</f>
        <v>-14142555</v>
      </c>
      <c r="U5" s="20" t="n">
        <f aca="false">U6+U7+U8+SUM(U10:U21)</f>
        <v>-8355848</v>
      </c>
      <c r="V5" s="20" t="n">
        <f aca="false">V6+V7+V8+SUM(V10:V21)</f>
        <v>-2822626</v>
      </c>
      <c r="W5" s="20" t="n">
        <f aca="false">W6+W7+W8+SUM(W10:W21)</f>
        <v>-8573736</v>
      </c>
      <c r="X5" s="20" t="n">
        <f aca="false">X6+X7+X8+SUM(X10:X21)</f>
        <v>21346909</v>
      </c>
      <c r="Y5" s="20" t="n">
        <f aca="false">Y6+Y7+Y8+SUM(Y10:Y21)</f>
        <v>-4630590</v>
      </c>
      <c r="Z5" s="20" t="n">
        <f aca="false">Z6+Z7+Z8+SUM(Z10:Z21)</f>
        <v>-2531822</v>
      </c>
      <c r="AA5" s="20" t="n">
        <f aca="false">AA6+AA7+AA8+SUM(AA10:AA21)</f>
        <v>1775847</v>
      </c>
      <c r="AB5" s="20" t="n">
        <f aca="false">AB6+AB7+AB8+SUM(AB10:AB21)</f>
        <v>6726262</v>
      </c>
      <c r="AC5" s="20" t="n">
        <f aca="false">AC6+AC7+AC8+SUM(AC10:AC21)</f>
        <v>-6791437</v>
      </c>
      <c r="AD5" s="20" t="n">
        <f aca="false">AD6+AD7+AD8+SUM(AD10:AD21)</f>
        <v>59339360</v>
      </c>
      <c r="AE5" s="20" t="n">
        <f aca="false">AE6+AE7+AE8+SUM(AE10:AE21)</f>
        <v>-6584219</v>
      </c>
      <c r="AF5" s="20" t="n">
        <f aca="false">AF6+AF7+AF8+SUM(AF10:AF21)</f>
        <v>-7841110</v>
      </c>
      <c r="AG5" s="20" t="n">
        <f aca="false">AG6+AG7+AG8+SUM(AG10:AG21)</f>
        <v>9908475</v>
      </c>
      <c r="AH5" s="20" t="n">
        <f aca="false">AH6+AH7+AH8+SUM(AH10:AH21)</f>
        <v>13100076</v>
      </c>
      <c r="AI5" s="20" t="n">
        <f aca="false">AI6+AI7+AI8+SUM(AI10:AI21)</f>
        <v>-6017892</v>
      </c>
      <c r="AJ5" s="20" t="n">
        <f aca="false">AJ6+AJ7+AJ8+SUM(AJ10:AJ21)</f>
        <v>36824774</v>
      </c>
      <c r="AK5" s="20" t="n">
        <f aca="false">AK6+AK7+AK8+SUM(AK10:AK21)</f>
        <v>-7451260</v>
      </c>
      <c r="AL5" s="20" t="n">
        <f aca="false">AL6+AL7+AL8+SUM(AL10:AL21)</f>
        <v>-6720660</v>
      </c>
      <c r="AM5" s="20" t="n">
        <f aca="false">AM6+AM7+AM8+SUM(AM10:AM21)</f>
        <v>8180905</v>
      </c>
      <c r="AN5" s="20" t="n">
        <f aca="false">AN6+AN7+AN8+SUM(AN10:AN21)</f>
        <v>22187858</v>
      </c>
      <c r="AO5" s="20" t="n">
        <f aca="false">AO6+AO7+AO8+SUM(AO10:AO21)</f>
        <v>31454</v>
      </c>
      <c r="AP5" s="20" t="n">
        <f aca="false">SUM(F5:M5)</f>
        <v>-11209458</v>
      </c>
      <c r="AQ5" s="20" t="n">
        <f aca="false">SUM(N5:Y5)</f>
        <v>-85196708</v>
      </c>
      <c r="AR5" s="20" t="n">
        <f aca="false">SUM(Z5:AK5)</f>
        <v>90457054</v>
      </c>
      <c r="AS5" s="20" t="n">
        <f aca="false">SUM(AL5:AO5)</f>
        <v>23679557</v>
      </c>
    </row>
    <row r="6" customFormat="false" ht="15" hidden="false" customHeight="false" outlineLevel="0" collapsed="false">
      <c r="A6" s="30" t="s">
        <v>256</v>
      </c>
      <c r="B6" s="10"/>
      <c r="F6" s="8" t="n">
        <f aca="false">'손익계산서(P&amp;L)'!F35</f>
        <v>-7093049</v>
      </c>
      <c r="G6" s="8" t="n">
        <f aca="false">'손익계산서(P&amp;L)'!G35</f>
        <v>-3614480</v>
      </c>
      <c r="H6" s="8" t="n">
        <f aca="false">'손익계산서(P&amp;L)'!H35</f>
        <v>-3034280</v>
      </c>
      <c r="I6" s="8" t="n">
        <f aca="false">'손익계산서(P&amp;L)'!I35</f>
        <v>-1681108</v>
      </c>
      <c r="J6" s="8" t="n">
        <f aca="false">'손익계산서(P&amp;L)'!J35</f>
        <v>-2238471</v>
      </c>
      <c r="K6" s="8" t="n">
        <f aca="false">'손익계산서(P&amp;L)'!K35</f>
        <v>-2521414</v>
      </c>
      <c r="L6" s="8" t="n">
        <f aca="false">'손익계산서(P&amp;L)'!L35</f>
        <v>-1364467</v>
      </c>
      <c r="M6" s="8" t="n">
        <f aca="false">'손익계산서(P&amp;L)'!M35</f>
        <v>-1479256</v>
      </c>
      <c r="N6" s="8" t="n">
        <f aca="false">'손익계산서(P&amp;L)'!N35</f>
        <v>-15155719</v>
      </c>
      <c r="O6" s="8" t="n">
        <f aca="false">'손익계산서(P&amp;L)'!O35</f>
        <v>-17052886</v>
      </c>
      <c r="P6" s="8" t="n">
        <f aca="false">'손익계산서(P&amp;L)'!P35</f>
        <v>-15216341</v>
      </c>
      <c r="Q6" s="8" t="n">
        <f aca="false">'손익계산서(P&amp;L)'!Q35</f>
        <v>-20103387</v>
      </c>
      <c r="R6" s="8" t="n">
        <f aca="false">'손익계산서(P&amp;L)'!R35</f>
        <v>-12861108</v>
      </c>
      <c r="S6" s="8" t="n">
        <f aca="false">'손익계산서(P&amp;L)'!S35</f>
        <v>-12241304</v>
      </c>
      <c r="T6" s="8" t="n">
        <f aca="false">'손익계산서(P&amp;L)'!T35</f>
        <v>-15090537</v>
      </c>
      <c r="U6" s="8" t="n">
        <f aca="false">'손익계산서(P&amp;L)'!U35</f>
        <v>-15311319</v>
      </c>
      <c r="V6" s="8" t="n">
        <f aca="false">'손익계산서(P&amp;L)'!V35</f>
        <v>-11635275</v>
      </c>
      <c r="W6" s="8" t="n">
        <f aca="false">'손익계산서(P&amp;L)'!W35</f>
        <v>42210</v>
      </c>
      <c r="X6" s="8" t="n">
        <f aca="false">'손익계산서(P&amp;L)'!X35</f>
        <v>5840747</v>
      </c>
      <c r="Y6" s="8" t="n">
        <f aca="false">'손익계산서(P&amp;L)'!Y35</f>
        <v>-1579129</v>
      </c>
      <c r="Z6" s="8" t="n">
        <f aca="false">'손익계산서(P&amp;L)'!Z35</f>
        <v>-4904620</v>
      </c>
      <c r="AA6" s="8" t="n">
        <f aca="false">'손익계산서(P&amp;L)'!AA35</f>
        <v>-6588294</v>
      </c>
      <c r="AB6" s="8" t="n">
        <f aca="false">'손익계산서(P&amp;L)'!AB35</f>
        <v>-5876866</v>
      </c>
      <c r="AC6" s="8" t="n">
        <f aca="false">'손익계산서(P&amp;L)'!AC35</f>
        <v>13902168</v>
      </c>
      <c r="AD6" s="8" t="n">
        <f aca="false">'손익계산서(P&amp;L)'!AD35</f>
        <v>813330</v>
      </c>
      <c r="AE6" s="8" t="n">
        <f aca="false">'손익계산서(P&amp;L)'!AE35</f>
        <v>-3205549</v>
      </c>
      <c r="AF6" s="8" t="n">
        <f aca="false">'손익계산서(P&amp;L)'!AF35</f>
        <v>398224</v>
      </c>
      <c r="AG6" s="8" t="n">
        <f aca="false">'손익계산서(P&amp;L)'!AG35</f>
        <v>-229</v>
      </c>
      <c r="AH6" s="8" t="n">
        <f aca="false">'손익계산서(P&amp;L)'!AH35</f>
        <v>-1897810</v>
      </c>
      <c r="AI6" s="8" t="n">
        <f aca="false">'손익계산서(P&amp;L)'!AI35</f>
        <v>21020763</v>
      </c>
      <c r="AJ6" s="8" t="n">
        <f aca="false">'손익계산서(P&amp;L)'!AJ35</f>
        <v>3098098</v>
      </c>
      <c r="AK6" s="8" t="n">
        <f aca="false">'손익계산서(P&amp;L)'!AK35</f>
        <v>1732871</v>
      </c>
      <c r="AL6" s="8" t="n">
        <f aca="false">'손익계산서(P&amp;L)'!AL35</f>
        <v>2913364</v>
      </c>
      <c r="AM6" s="8" t="n">
        <f aca="false">'손익계산서(P&amp;L)'!AM35</f>
        <v>-186855</v>
      </c>
      <c r="AN6" s="8" t="n">
        <f aca="false">'손익계산서(P&amp;L)'!AN35</f>
        <v>3008760</v>
      </c>
      <c r="AO6" s="8" t="n">
        <f aca="false">'손익계산서(P&amp;L)'!AO35</f>
        <v>31628416</v>
      </c>
      <c r="AP6" s="8" t="n">
        <f aca="false">SUM(F6:M6)</f>
        <v>-23026525</v>
      </c>
      <c r="AQ6" s="8" t="n">
        <f aca="false">SUM(N6:Y6)</f>
        <v>-130364048</v>
      </c>
      <c r="AR6" s="8" t="n">
        <f aca="false">SUM(Z6:AK6)</f>
        <v>18492086</v>
      </c>
      <c r="AS6" s="8" t="n">
        <f aca="false">SUM(AL6:AO6)</f>
        <v>37363685</v>
      </c>
    </row>
    <row r="7" customFormat="false" ht="15" hidden="false" customHeight="false" outlineLevel="0" collapsed="false">
      <c r="A7" s="30" t="s">
        <v>257</v>
      </c>
      <c r="B7" s="10"/>
      <c r="F7" s="8" t="n">
        <f aca="false">'판관비(SG&amp;A)'!F11</f>
        <v>0</v>
      </c>
      <c r="G7" s="8" t="n">
        <f aca="false">'판관비(SG&amp;A)'!G11</f>
        <v>0</v>
      </c>
      <c r="H7" s="8" t="n">
        <f aca="false">'판관비(SG&amp;A)'!H11</f>
        <v>0</v>
      </c>
      <c r="I7" s="8" t="n">
        <f aca="false">'판관비(SG&amp;A)'!I11</f>
        <v>0</v>
      </c>
      <c r="J7" s="8" t="n">
        <f aca="false">'판관비(SG&amp;A)'!J11</f>
        <v>0</v>
      </c>
      <c r="K7" s="8" t="n">
        <f aca="false">'판관비(SG&amp;A)'!K11</f>
        <v>0</v>
      </c>
      <c r="L7" s="8" t="n">
        <f aca="false">'판관비(SG&amp;A)'!L11</f>
        <v>0</v>
      </c>
      <c r="M7" s="8" t="n">
        <f aca="false">'판관비(SG&amp;A)'!M11</f>
        <v>0</v>
      </c>
      <c r="N7" s="8" t="n">
        <f aca="false">'판관비(SG&amp;A)'!N11</f>
        <v>0</v>
      </c>
      <c r="O7" s="8" t="n">
        <f aca="false">'판관비(SG&amp;A)'!O11</f>
        <v>83333</v>
      </c>
      <c r="P7" s="8" t="n">
        <f aca="false">'판관비(SG&amp;A)'!P11</f>
        <v>83333</v>
      </c>
      <c r="Q7" s="8" t="n">
        <f aca="false">'판관비(SG&amp;A)'!Q11</f>
        <v>83333</v>
      </c>
      <c r="R7" s="8" t="n">
        <f aca="false">'판관비(SG&amp;A)'!R11</f>
        <v>156667</v>
      </c>
      <c r="S7" s="8" t="n">
        <f aca="false">'판관비(SG&amp;A)'!S11</f>
        <v>156667</v>
      </c>
      <c r="T7" s="8" t="n">
        <f aca="false">'판관비(SG&amp;A)'!T11</f>
        <v>156667</v>
      </c>
      <c r="U7" s="8" t="n">
        <f aca="false">'판관비(SG&amp;A)'!U11</f>
        <v>193333</v>
      </c>
      <c r="V7" s="8" t="n">
        <f aca="false">'판관비(SG&amp;A)'!V11</f>
        <v>193333</v>
      </c>
      <c r="W7" s="8" t="n">
        <f aca="false">'판관비(SG&amp;A)'!W11</f>
        <v>193333</v>
      </c>
      <c r="X7" s="8" t="n">
        <f aca="false">'판관비(SG&amp;A)'!X11</f>
        <v>193333</v>
      </c>
      <c r="Y7" s="8" t="n">
        <f aca="false">'판관비(SG&amp;A)'!Y11</f>
        <v>193333</v>
      </c>
      <c r="Z7" s="8" t="n">
        <f aca="false">'판관비(SG&amp;A)'!Z11</f>
        <v>343333</v>
      </c>
      <c r="AA7" s="8" t="n">
        <f aca="false">'판관비(SG&amp;A)'!AA11</f>
        <v>343333</v>
      </c>
      <c r="AB7" s="8" t="n">
        <f aca="false">'판관비(SG&amp;A)'!AB11</f>
        <v>343333</v>
      </c>
      <c r="AC7" s="8" t="n">
        <f aca="false">'판관비(SG&amp;A)'!AC11</f>
        <v>380000</v>
      </c>
      <c r="AD7" s="8" t="n">
        <f aca="false">'판관비(SG&amp;A)'!AD11</f>
        <v>380000</v>
      </c>
      <c r="AE7" s="8" t="n">
        <f aca="false">'판관비(SG&amp;A)'!AE11</f>
        <v>380000</v>
      </c>
      <c r="AF7" s="8" t="n">
        <f aca="false">'판관비(SG&amp;A)'!AF11</f>
        <v>380000</v>
      </c>
      <c r="AG7" s="8" t="n">
        <f aca="false">'판관비(SG&amp;A)'!AG11</f>
        <v>380000</v>
      </c>
      <c r="AH7" s="8" t="n">
        <f aca="false">'판관비(SG&amp;A)'!AH11</f>
        <v>380000</v>
      </c>
      <c r="AI7" s="8" t="n">
        <f aca="false">'판관비(SG&amp;A)'!AI11</f>
        <v>420000</v>
      </c>
      <c r="AJ7" s="8" t="n">
        <f aca="false">'판관비(SG&amp;A)'!AJ11</f>
        <v>420000</v>
      </c>
      <c r="AK7" s="8" t="n">
        <f aca="false">'판관비(SG&amp;A)'!AK11</f>
        <v>420000</v>
      </c>
      <c r="AL7" s="8" t="n">
        <f aca="false">'판관비(SG&amp;A)'!AL11</f>
        <v>420000</v>
      </c>
      <c r="AM7" s="8" t="n">
        <f aca="false">'판관비(SG&amp;A)'!AM11</f>
        <v>420000</v>
      </c>
      <c r="AN7" s="8" t="n">
        <f aca="false">'판관비(SG&amp;A)'!AN11</f>
        <v>420000</v>
      </c>
      <c r="AO7" s="8" t="n">
        <f aca="false">'판관비(SG&amp;A)'!AO11</f>
        <v>420000</v>
      </c>
      <c r="AP7" s="8" t="n">
        <f aca="false">SUM(F7:M7)</f>
        <v>0</v>
      </c>
      <c r="AQ7" s="8" t="n">
        <f aca="false">SUM(N7:Y7)</f>
        <v>1686665</v>
      </c>
      <c r="AR7" s="8" t="n">
        <f aca="false">SUM(Z7:AK7)</f>
        <v>4569999</v>
      </c>
      <c r="AS7" s="8" t="n">
        <f aca="false">SUM(AL7:AO7)</f>
        <v>1680000</v>
      </c>
    </row>
    <row r="8" customFormat="false" ht="15" hidden="false" customHeight="false" outlineLevel="0" collapsed="false">
      <c r="A8" s="30" t="s">
        <v>258</v>
      </c>
      <c r="B8" s="10"/>
      <c r="F8" s="8" t="n">
        <f aca="false">'판관비(SG&amp;A)'!F12</f>
        <v>0</v>
      </c>
      <c r="G8" s="8" t="n">
        <f aca="false">'판관비(SG&amp;A)'!G12</f>
        <v>0</v>
      </c>
      <c r="H8" s="8" t="n">
        <f aca="false">'판관비(SG&amp;A)'!H12</f>
        <v>0</v>
      </c>
      <c r="I8" s="8" t="n">
        <f aca="false">'판관비(SG&amp;A)'!I12</f>
        <v>0</v>
      </c>
      <c r="J8" s="8" t="n">
        <f aca="false">'판관비(SG&amp;A)'!J12</f>
        <v>0</v>
      </c>
      <c r="K8" s="8" t="n">
        <f aca="false">'판관비(SG&amp;A)'!K12</f>
        <v>0</v>
      </c>
      <c r="L8" s="8" t="n">
        <f aca="false">'판관비(SG&amp;A)'!L12</f>
        <v>0</v>
      </c>
      <c r="M8" s="8" t="n">
        <f aca="false">'판관비(SG&amp;A)'!M12</f>
        <v>0</v>
      </c>
      <c r="N8" s="8" t="n">
        <f aca="false">'판관비(SG&amp;A)'!N12</f>
        <v>0</v>
      </c>
      <c r="O8" s="8" t="n">
        <f aca="false">'판관비(SG&amp;A)'!O12</f>
        <v>0</v>
      </c>
      <c r="P8" s="8" t="n">
        <f aca="false">'판관비(SG&amp;A)'!P12</f>
        <v>25000</v>
      </c>
      <c r="Q8" s="8" t="n">
        <f aca="false">'판관비(SG&amp;A)'!Q12</f>
        <v>25000</v>
      </c>
      <c r="R8" s="8" t="n">
        <f aca="false">'판관비(SG&amp;A)'!R12</f>
        <v>25000</v>
      </c>
      <c r="S8" s="8" t="n">
        <f aca="false">'판관비(SG&amp;A)'!S12</f>
        <v>25000</v>
      </c>
      <c r="T8" s="8" t="n">
        <f aca="false">'판관비(SG&amp;A)'!T12</f>
        <v>25000</v>
      </c>
      <c r="U8" s="8" t="n">
        <f aca="false">'판관비(SG&amp;A)'!U12</f>
        <v>25000</v>
      </c>
      <c r="V8" s="8" t="n">
        <f aca="false">'판관비(SG&amp;A)'!V12</f>
        <v>25000</v>
      </c>
      <c r="W8" s="8" t="n">
        <f aca="false">'판관비(SG&amp;A)'!W12</f>
        <v>25000</v>
      </c>
      <c r="X8" s="8" t="n">
        <f aca="false">'판관비(SG&amp;A)'!X12</f>
        <v>25000</v>
      </c>
      <c r="Y8" s="8" t="n">
        <f aca="false">'판관비(SG&amp;A)'!Y12</f>
        <v>25000</v>
      </c>
      <c r="Z8" s="8" t="n">
        <f aca="false">'판관비(SG&amp;A)'!Z12</f>
        <v>25000</v>
      </c>
      <c r="AA8" s="8" t="n">
        <f aca="false">'판관비(SG&amp;A)'!AA12</f>
        <v>25000</v>
      </c>
      <c r="AB8" s="8" t="n">
        <f aca="false">'판관비(SG&amp;A)'!AB12</f>
        <v>25000</v>
      </c>
      <c r="AC8" s="8" t="n">
        <f aca="false">'판관비(SG&amp;A)'!AC12</f>
        <v>25000</v>
      </c>
      <c r="AD8" s="8" t="n">
        <f aca="false">'판관비(SG&amp;A)'!AD12</f>
        <v>25000</v>
      </c>
      <c r="AE8" s="8" t="n">
        <f aca="false">'판관비(SG&amp;A)'!AE12</f>
        <v>58333</v>
      </c>
      <c r="AF8" s="8" t="n">
        <f aca="false">'판관비(SG&amp;A)'!AF12</f>
        <v>58333</v>
      </c>
      <c r="AG8" s="8" t="n">
        <f aca="false">'판관비(SG&amp;A)'!AG12</f>
        <v>58333</v>
      </c>
      <c r="AH8" s="8" t="n">
        <f aca="false">'판관비(SG&amp;A)'!AH12</f>
        <v>58333</v>
      </c>
      <c r="AI8" s="8" t="n">
        <f aca="false">'판관비(SG&amp;A)'!AI12</f>
        <v>58333</v>
      </c>
      <c r="AJ8" s="8" t="n">
        <f aca="false">'판관비(SG&amp;A)'!AJ12</f>
        <v>58333</v>
      </c>
      <c r="AK8" s="8" t="n">
        <f aca="false">'판관비(SG&amp;A)'!AK12</f>
        <v>58333</v>
      </c>
      <c r="AL8" s="8" t="n">
        <f aca="false">'판관비(SG&amp;A)'!AL12</f>
        <v>58333</v>
      </c>
      <c r="AM8" s="8" t="n">
        <f aca="false">'판관비(SG&amp;A)'!AM12</f>
        <v>58333</v>
      </c>
      <c r="AN8" s="8" t="n">
        <f aca="false">'판관비(SG&amp;A)'!AN12</f>
        <v>58333</v>
      </c>
      <c r="AO8" s="8" t="n">
        <f aca="false">'판관비(SG&amp;A)'!AO12</f>
        <v>58333</v>
      </c>
      <c r="AP8" s="8" t="n">
        <f aca="false">SUM(F8:M8)</f>
        <v>0</v>
      </c>
      <c r="AQ8" s="8" t="n">
        <f aca="false">SUM(N8:Y8)</f>
        <v>250000</v>
      </c>
      <c r="AR8" s="8" t="n">
        <f aca="false">SUM(Z8:AK8)</f>
        <v>533331</v>
      </c>
      <c r="AS8" s="8" t="n">
        <f aca="false">SUM(AL8:AO8)</f>
        <v>233332</v>
      </c>
    </row>
    <row r="9" customFormat="false" ht="15" hidden="false" customHeight="false" outlineLevel="0" collapsed="false">
      <c r="A9" s="4" t="s">
        <v>259</v>
      </c>
    </row>
    <row r="10" customFormat="false" ht="15" hidden="false" customHeight="false" outlineLevel="0" collapsed="false">
      <c r="A10" s="30" t="s">
        <v>260</v>
      </c>
      <c r="B10" s="10"/>
      <c r="F10" s="8" t="n">
        <f aca="false">0-'재무상태표(BS)'!F8</f>
        <v>0</v>
      </c>
      <c r="G10" s="8" t="n">
        <f aca="false">'재무상태표(BS)'!F8-'재무상태표(BS)'!G8</f>
        <v>0</v>
      </c>
      <c r="H10" s="8" t="n">
        <f aca="false">'재무상태표(BS)'!G8-'재무상태표(BS)'!H8</f>
        <v>0</v>
      </c>
      <c r="I10" s="8" t="n">
        <f aca="false">'재무상태표(BS)'!H8-'재무상태표(BS)'!I8</f>
        <v>0</v>
      </c>
      <c r="J10" s="8" t="n">
        <f aca="false">'재무상태표(BS)'!I8-'재무상태표(BS)'!J8</f>
        <v>0</v>
      </c>
      <c r="K10" s="8" t="n">
        <f aca="false">'재무상태표(BS)'!J8-'재무상태표(BS)'!K8</f>
        <v>0</v>
      </c>
      <c r="L10" s="8" t="n">
        <f aca="false">'재무상태표(BS)'!K8-'재무상태표(BS)'!L8</f>
        <v>0</v>
      </c>
      <c r="M10" s="8" t="n">
        <f aca="false">'재무상태표(BS)'!L8-'재무상태표(BS)'!M8</f>
        <v>0</v>
      </c>
      <c r="N10" s="8" t="n">
        <f aca="false">'재무상태표(BS)'!M8-'재무상태표(BS)'!N8</f>
        <v>0</v>
      </c>
      <c r="O10" s="8" t="n">
        <f aca="false">'재무상태표(BS)'!N8-'재무상태표(BS)'!O8</f>
        <v>0</v>
      </c>
      <c r="P10" s="8" t="n">
        <f aca="false">'재무상태표(BS)'!O8-'재무상태표(BS)'!P8</f>
        <v>-16500000</v>
      </c>
      <c r="Q10" s="8" t="n">
        <f aca="false">'재무상태표(BS)'!P8-'재무상태표(BS)'!Q8</f>
        <v>-3300000</v>
      </c>
      <c r="R10" s="8" t="n">
        <f aca="false">'재무상태표(BS)'!Q8-'재무상태표(BS)'!R8</f>
        <v>19624000</v>
      </c>
      <c r="S10" s="8" t="n">
        <f aca="false">'재무상태표(BS)'!R8-'재무상태표(BS)'!S8</f>
        <v>-2252800</v>
      </c>
      <c r="T10" s="8" t="n">
        <f aca="false">'재무상태표(BS)'!S8-'재무상태표(BS)'!T8</f>
        <v>772200</v>
      </c>
      <c r="U10" s="8" t="n">
        <f aca="false">'재무상태표(BS)'!T8-'재무상태표(BS)'!U8</f>
        <v>1146200</v>
      </c>
      <c r="V10" s="8" t="n">
        <f aca="false">'재무상태표(BS)'!U8-'재무상태표(BS)'!V8</f>
        <v>-16038000</v>
      </c>
      <c r="W10" s="8" t="n">
        <f aca="false">'재무상태표(BS)'!V8-'재무상태표(BS)'!W8</f>
        <v>-2288000</v>
      </c>
      <c r="X10" s="8" t="n">
        <f aca="false">'재무상태표(BS)'!W8-'재무상태표(BS)'!X8</f>
        <v>18062000</v>
      </c>
      <c r="Y10" s="8" t="n">
        <f aca="false">'재무상태표(BS)'!X8-'재무상태표(BS)'!Y8</f>
        <v>-3388000</v>
      </c>
      <c r="Z10" s="8" t="n">
        <f aca="false">'재무상태표(BS)'!Y8-'재무상태표(BS)'!Z8</f>
        <v>1287000</v>
      </c>
      <c r="AA10" s="8" t="n">
        <f aca="false">'재무상태표(BS)'!Z8-'재무상태표(BS)'!AA8</f>
        <v>1837000</v>
      </c>
      <c r="AB10" s="8" t="n">
        <f aca="false">'재무상태표(BS)'!AA8-'재무상태표(BS)'!AB8</f>
        <v>-63338000</v>
      </c>
      <c r="AC10" s="8" t="n">
        <f aca="false">'재무상태표(BS)'!AB8-'재무상태표(BS)'!AC8</f>
        <v>-3388000</v>
      </c>
      <c r="AD10" s="8" t="n">
        <f aca="false">'재무상태표(BS)'!AC8-'재무상태표(BS)'!AD8</f>
        <v>66462000</v>
      </c>
      <c r="AE10" s="8" t="n">
        <f aca="false">'재무상태표(BS)'!AD8-'재무상태표(BS)'!AE8</f>
        <v>-4488000</v>
      </c>
      <c r="AF10" s="8" t="n">
        <f aca="false">'재무상태표(BS)'!AE8-'재무상태표(BS)'!AF8</f>
        <v>1837000</v>
      </c>
      <c r="AG10" s="8" t="n">
        <f aca="false">'재무상태표(BS)'!AF8-'재무상태표(BS)'!AG8</f>
        <v>2387000</v>
      </c>
      <c r="AH10" s="8" t="n">
        <f aca="false">'재무상태표(BS)'!AG8-'재무상태표(BS)'!AH8</f>
        <v>-40348000</v>
      </c>
      <c r="AI10" s="8" t="n">
        <f aca="false">'재무상태표(BS)'!AH8-'재무상태표(BS)'!AI8</f>
        <v>-4470400</v>
      </c>
      <c r="AJ10" s="8" t="n">
        <f aca="false">'재무상태표(BS)'!AI8-'재무상태표(BS)'!AJ8</f>
        <v>44624800</v>
      </c>
      <c r="AK10" s="8" t="n">
        <f aca="false">'재무상태표(BS)'!AJ8-'재무상태표(BS)'!AK8</f>
        <v>-5500000</v>
      </c>
      <c r="AL10" s="8" t="n">
        <f aca="false">'재무상태표(BS)'!AK8-'재무상태표(BS)'!AL8</f>
        <v>2475000</v>
      </c>
      <c r="AM10" s="8" t="n">
        <f aca="false">'재무상태표(BS)'!AL8-'재무상태표(BS)'!AM8</f>
        <v>3025000</v>
      </c>
      <c r="AN10" s="8" t="n">
        <f aca="false">'재무상태표(BS)'!AM8-'재무상태표(BS)'!AN8</f>
        <v>-53570000</v>
      </c>
      <c r="AO10" s="8" t="n">
        <f aca="false">'재무상태표(BS)'!AN8-'재무상태표(BS)'!AO8</f>
        <v>-4950000</v>
      </c>
      <c r="AP10" s="8" t="n">
        <f aca="false">SUM(F10:M10)</f>
        <v>0</v>
      </c>
      <c r="AQ10" s="8" t="n">
        <f aca="false">SUM(N10:Y10)</f>
        <v>-4162400</v>
      </c>
      <c r="AR10" s="8" t="n">
        <f aca="false">SUM(Z10:AK10)</f>
        <v>-3097600</v>
      </c>
      <c r="AS10" s="8" t="n">
        <f aca="false">SUM(AL10:AO10)</f>
        <v>-53020000</v>
      </c>
    </row>
    <row r="11" customFormat="false" ht="15" hidden="false" customHeight="false" outlineLevel="0" collapsed="false">
      <c r="A11" s="30" t="s">
        <v>261</v>
      </c>
      <c r="B11" s="10"/>
      <c r="F11" s="8" t="n">
        <f aca="false">0-'재무상태표(BS)'!F9</f>
        <v>0</v>
      </c>
      <c r="G11" s="8" t="n">
        <f aca="false">'재무상태표(BS)'!F9-'재무상태표(BS)'!G9</f>
        <v>0</v>
      </c>
      <c r="H11" s="8" t="n">
        <f aca="false">'재무상태표(BS)'!G9-'재무상태표(BS)'!H9</f>
        <v>0</v>
      </c>
      <c r="I11" s="8" t="n">
        <f aca="false">'재무상태표(BS)'!H9-'재무상태표(BS)'!I9</f>
        <v>0</v>
      </c>
      <c r="J11" s="8" t="n">
        <f aca="false">'재무상태표(BS)'!I9-'재무상태표(BS)'!J9</f>
        <v>0</v>
      </c>
      <c r="K11" s="8" t="n">
        <f aca="false">'재무상태표(BS)'!J9-'재무상태표(BS)'!K9</f>
        <v>0</v>
      </c>
      <c r="L11" s="8" t="n">
        <f aca="false">'재무상태표(BS)'!K9-'재무상태표(BS)'!L9</f>
        <v>0</v>
      </c>
      <c r="M11" s="8" t="n">
        <f aca="false">'재무상태표(BS)'!L9-'재무상태표(BS)'!M9</f>
        <v>0</v>
      </c>
      <c r="N11" s="8" t="n">
        <f aca="false">'재무상태표(BS)'!M9-'재무상태표(BS)'!N9</f>
        <v>-1370567</v>
      </c>
      <c r="O11" s="8" t="n">
        <f aca="false">'재무상태표(BS)'!N9-'재무상태표(BS)'!O9</f>
        <v>-542813</v>
      </c>
      <c r="P11" s="8" t="n">
        <f aca="false">'재무상태표(BS)'!O9-'재무상태표(BS)'!P9</f>
        <v>-1770151</v>
      </c>
      <c r="Q11" s="8" t="n">
        <f aca="false">'재무상태표(BS)'!P9-'재무상태표(BS)'!Q9</f>
        <v>-229484</v>
      </c>
      <c r="R11" s="8" t="n">
        <f aca="false">'재무상태표(BS)'!Q9-'재무상태표(BS)'!R9</f>
        <v>628176</v>
      </c>
      <c r="S11" s="8" t="n">
        <f aca="false">'재무상태표(BS)'!R9-'재무상태표(BS)'!S9</f>
        <v>-3152</v>
      </c>
      <c r="T11" s="8" t="n">
        <f aca="false">'재무상태표(BS)'!S9-'재무상태표(BS)'!T9</f>
        <v>-564285</v>
      </c>
      <c r="U11" s="8" t="n">
        <f aca="false">'재무상태표(BS)'!T9-'재무상태표(BS)'!U9</f>
        <v>-1348674</v>
      </c>
      <c r="V11" s="8" t="n">
        <f aca="false">'재무상태표(BS)'!U9-'재무상태표(BS)'!V9</f>
        <v>-2335540</v>
      </c>
      <c r="W11" s="8" t="n">
        <f aca="false">'재무상태표(BS)'!V9-'재무상태표(BS)'!W9</f>
        <v>12863</v>
      </c>
      <c r="X11" s="8" t="n">
        <f aca="false">'재무상태표(BS)'!W9-'재무상태표(BS)'!X9</f>
        <v>1576843</v>
      </c>
      <c r="Y11" s="8" t="n">
        <f aca="false">'재무상태표(BS)'!X9-'재무상태표(BS)'!Y9</f>
        <v>478970</v>
      </c>
      <c r="Z11" s="8" t="n">
        <f aca="false">'재무상태표(BS)'!Y9-'재무상태표(BS)'!Z9</f>
        <v>-1398894</v>
      </c>
      <c r="AA11" s="8" t="n">
        <f aca="false">'재무상태표(BS)'!Z9-'재무상태표(BS)'!AA9</f>
        <v>-1501049</v>
      </c>
      <c r="AB11" s="8" t="n">
        <f aca="false">'재무상태표(BS)'!AA9-'재무상태표(BS)'!AB9</f>
        <v>-3218769</v>
      </c>
      <c r="AC11" s="8" t="n">
        <f aca="false">'재무상태표(BS)'!AB9-'재무상태표(BS)'!AC9</f>
        <v>-85938</v>
      </c>
      <c r="AD11" s="8" t="n">
        <f aca="false">'재무상태표(BS)'!AC9-'재무상태표(BS)'!AD9</f>
        <v>2598656</v>
      </c>
      <c r="AE11" s="8" t="n">
        <f aca="false">'재무상태표(BS)'!AD9-'재무상태표(BS)'!AE9</f>
        <v>304894</v>
      </c>
      <c r="AF11" s="8" t="n">
        <f aca="false">'재무상태표(BS)'!AE9-'재무상태표(BS)'!AF9</f>
        <v>-947731</v>
      </c>
      <c r="AG11" s="8" t="n">
        <f aca="false">'재무상태표(BS)'!AF9-'재무상태표(BS)'!AG9</f>
        <v>-2541853</v>
      </c>
      <c r="AH11" s="8" t="n">
        <f aca="false">'재무상태표(BS)'!AG9-'재무상태표(BS)'!AH9</f>
        <v>-4088278</v>
      </c>
      <c r="AI11" s="8" t="n">
        <f aca="false">'재무상태표(BS)'!AH9-'재무상태표(BS)'!AI9</f>
        <v>775451</v>
      </c>
      <c r="AJ11" s="8" t="n">
        <f aca="false">'재무상태표(BS)'!AI9-'재무상태표(BS)'!AJ9</f>
        <v>3417046</v>
      </c>
      <c r="AK11" s="8" t="n">
        <f aca="false">'재무상태표(BS)'!AJ9-'재무상태표(BS)'!AK9</f>
        <v>1348129</v>
      </c>
      <c r="AL11" s="8" t="n">
        <f aca="false">'재무상태표(BS)'!AK9-'재무상태표(BS)'!AL9</f>
        <v>-1891679</v>
      </c>
      <c r="AM11" s="8" t="n">
        <f aca="false">'재무상태표(BS)'!AL9-'재무상태표(BS)'!AM9</f>
        <v>-2112252</v>
      </c>
      <c r="AN11" s="8" t="n">
        <f aca="false">'재무상태표(BS)'!AM9-'재무상태표(BS)'!AN9</f>
        <v>-4737326</v>
      </c>
      <c r="AO11" s="8" t="n">
        <f aca="false">'재무상태표(BS)'!AN9-'재무상태표(BS)'!AO9</f>
        <v>381090</v>
      </c>
      <c r="AP11" s="8" t="n">
        <f aca="false">SUM(F11:M11)</f>
        <v>0</v>
      </c>
      <c r="AQ11" s="8" t="n">
        <f aca="false">SUM(N11:Y11)</f>
        <v>-5467814</v>
      </c>
      <c r="AR11" s="8" t="n">
        <f aca="false">SUM(Z11:AK11)</f>
        <v>-5338336</v>
      </c>
      <c r="AS11" s="8" t="n">
        <f aca="false">SUM(AL11:AO11)</f>
        <v>-8360167</v>
      </c>
    </row>
    <row r="12" customFormat="false" ht="15" hidden="false" customHeight="false" outlineLevel="0" collapsed="false">
      <c r="A12" s="30" t="s">
        <v>262</v>
      </c>
      <c r="B12" s="10"/>
      <c r="F12" s="8" t="n">
        <f aca="false">0-'재무상태표(BS)'!F10</f>
        <v>0</v>
      </c>
      <c r="G12" s="8" t="n">
        <f aca="false">'재무상태표(BS)'!F10-'재무상태표(BS)'!G10</f>
        <v>0</v>
      </c>
      <c r="H12" s="8" t="n">
        <f aca="false">'재무상태표(BS)'!G10-'재무상태표(BS)'!H10</f>
        <v>0</v>
      </c>
      <c r="I12" s="8" t="n">
        <f aca="false">'재무상태표(BS)'!H10-'재무상태표(BS)'!I10</f>
        <v>0</v>
      </c>
      <c r="J12" s="8" t="n">
        <f aca="false">'재무상태표(BS)'!I10-'재무상태표(BS)'!J10</f>
        <v>0</v>
      </c>
      <c r="K12" s="8" t="n">
        <f aca="false">'재무상태표(BS)'!J10-'재무상태표(BS)'!K10</f>
        <v>0</v>
      </c>
      <c r="L12" s="8" t="n">
        <f aca="false">'재무상태표(BS)'!K10-'재무상태표(BS)'!L10</f>
        <v>-500000</v>
      </c>
      <c r="M12" s="8" t="n">
        <f aca="false">'재무상태표(BS)'!L10-'재무상태표(BS)'!M10</f>
        <v>-451480</v>
      </c>
      <c r="N12" s="8" t="n">
        <f aca="false">'재무상태표(BS)'!M10-'재무상태표(BS)'!N10</f>
        <v>951480</v>
      </c>
      <c r="O12" s="8" t="n">
        <f aca="false">'재무상태표(BS)'!N10-'재무상태표(BS)'!O10</f>
        <v>0</v>
      </c>
      <c r="P12" s="8" t="n">
        <f aca="false">'재무상태표(BS)'!O10-'재무상태표(BS)'!P10</f>
        <v>-750000</v>
      </c>
      <c r="Q12" s="8" t="n">
        <f aca="false">'재무상태표(BS)'!P10-'재무상태표(BS)'!Q10</f>
        <v>750000</v>
      </c>
      <c r="R12" s="8" t="n">
        <f aca="false">'재무상태표(BS)'!Q10-'재무상태표(BS)'!R10</f>
        <v>0</v>
      </c>
      <c r="S12" s="8" t="n">
        <f aca="false">'재무상태표(BS)'!R10-'재무상태표(BS)'!S10</f>
        <v>0</v>
      </c>
      <c r="T12" s="8" t="n">
        <f aca="false">'재무상태표(BS)'!S10-'재무상태표(BS)'!T10</f>
        <v>0</v>
      </c>
      <c r="U12" s="8" t="n">
        <f aca="false">'재무상태표(BS)'!T10-'재무상태표(BS)'!U10</f>
        <v>0</v>
      </c>
      <c r="V12" s="8" t="n">
        <f aca="false">'재무상태표(BS)'!U10-'재무상태표(BS)'!V10</f>
        <v>-900000</v>
      </c>
      <c r="W12" s="8" t="n">
        <f aca="false">'재무상태표(BS)'!V10-'재무상태표(BS)'!W10</f>
        <v>900000</v>
      </c>
      <c r="X12" s="8" t="n">
        <f aca="false">'재무상태표(BS)'!W10-'재무상태표(BS)'!X10</f>
        <v>0</v>
      </c>
      <c r="Y12" s="8" t="n">
        <f aca="false">'재무상태표(BS)'!X10-'재무상태표(BS)'!Y10</f>
        <v>0</v>
      </c>
      <c r="Z12" s="8" t="n">
        <f aca="false">'재무상태표(BS)'!Y10-'재무상태표(BS)'!Z10</f>
        <v>0</v>
      </c>
      <c r="AA12" s="8" t="n">
        <f aca="false">'재무상태표(BS)'!Z10-'재무상태표(BS)'!AA10</f>
        <v>0</v>
      </c>
      <c r="AB12" s="8" t="n">
        <f aca="false">'재무상태표(BS)'!AA10-'재무상태표(BS)'!AB10</f>
        <v>-1050000</v>
      </c>
      <c r="AC12" s="8" t="n">
        <f aca="false">'재무상태표(BS)'!AB10-'재무상태표(BS)'!AC10</f>
        <v>1050000</v>
      </c>
      <c r="AD12" s="8" t="n">
        <f aca="false">'재무상태표(BS)'!AC10-'재무상태표(BS)'!AD10</f>
        <v>0</v>
      </c>
      <c r="AE12" s="8" t="n">
        <f aca="false">'재무상태표(BS)'!AD10-'재무상태표(BS)'!AE10</f>
        <v>0</v>
      </c>
      <c r="AF12" s="8" t="n">
        <f aca="false">'재무상태표(BS)'!AE10-'재무상태표(BS)'!AF10</f>
        <v>0</v>
      </c>
      <c r="AG12" s="8" t="n">
        <f aca="false">'재무상태표(BS)'!AF10-'재무상태표(BS)'!AG10</f>
        <v>0</v>
      </c>
      <c r="AH12" s="8" t="n">
        <f aca="false">'재무상태표(BS)'!AG10-'재무상태표(BS)'!AH10</f>
        <v>-1200000</v>
      </c>
      <c r="AI12" s="8" t="n">
        <f aca="false">'재무상태표(BS)'!AH10-'재무상태표(BS)'!AI10</f>
        <v>1200000</v>
      </c>
      <c r="AJ12" s="8" t="n">
        <f aca="false">'재무상태표(BS)'!AI10-'재무상태표(BS)'!AJ10</f>
        <v>0</v>
      </c>
      <c r="AK12" s="8" t="n">
        <f aca="false">'재무상태표(BS)'!AJ10-'재무상태표(BS)'!AK10</f>
        <v>0</v>
      </c>
      <c r="AL12" s="8" t="n">
        <f aca="false">'재무상태표(BS)'!AK10-'재무상태표(BS)'!AL10</f>
        <v>0</v>
      </c>
      <c r="AM12" s="8" t="n">
        <f aca="false">'재무상태표(BS)'!AL10-'재무상태표(BS)'!AM10</f>
        <v>0</v>
      </c>
      <c r="AN12" s="8" t="n">
        <f aca="false">'재무상태표(BS)'!AM10-'재무상태표(BS)'!AN10</f>
        <v>-1350000</v>
      </c>
      <c r="AO12" s="8" t="n">
        <f aca="false">'재무상태표(BS)'!AN10-'재무상태표(BS)'!AO10</f>
        <v>1350000</v>
      </c>
      <c r="AP12" s="8" t="n">
        <f aca="false">SUM(F12:M12)</f>
        <v>-951480</v>
      </c>
      <c r="AQ12" s="8" t="n">
        <f aca="false">SUM(N12:Y12)</f>
        <v>951480</v>
      </c>
      <c r="AR12" s="8" t="n">
        <f aca="false">SUM(Z12:AK12)</f>
        <v>0</v>
      </c>
      <c r="AS12" s="8" t="n">
        <f aca="false">SUM(AL12:AO12)</f>
        <v>0</v>
      </c>
    </row>
    <row r="13" customFormat="false" ht="15" hidden="false" customHeight="false" outlineLevel="0" collapsed="false">
      <c r="A13" s="30" t="s">
        <v>263</v>
      </c>
      <c r="B13" s="10"/>
      <c r="F13" s="8" t="n">
        <f aca="false">0-'재무상태표(BS)'!F11</f>
        <v>0</v>
      </c>
      <c r="G13" s="8" t="n">
        <f aca="false">'재무상태표(BS)'!F11-'재무상태표(BS)'!G11</f>
        <v>0</v>
      </c>
      <c r="H13" s="8" t="n">
        <f aca="false">'재무상태표(BS)'!G11-'재무상태표(BS)'!H11</f>
        <v>0</v>
      </c>
      <c r="I13" s="8" t="n">
        <f aca="false">'재무상태표(BS)'!H11-'재무상태표(BS)'!I11</f>
        <v>0</v>
      </c>
      <c r="J13" s="8" t="n">
        <f aca="false">'재무상태표(BS)'!I11-'재무상태표(BS)'!J11</f>
        <v>0</v>
      </c>
      <c r="K13" s="8" t="n">
        <f aca="false">'재무상태표(BS)'!J11-'재무상태표(BS)'!K11</f>
        <v>0</v>
      </c>
      <c r="L13" s="8" t="n">
        <f aca="false">'재무상태표(BS)'!K11-'재무상태표(BS)'!L11</f>
        <v>0</v>
      </c>
      <c r="M13" s="8" t="n">
        <f aca="false">'재무상태표(BS)'!L11-'재무상태표(BS)'!M11</f>
        <v>0</v>
      </c>
      <c r="N13" s="8" t="n">
        <f aca="false">'재무상태표(BS)'!M11-'재무상태표(BS)'!N11</f>
        <v>-178764</v>
      </c>
      <c r="O13" s="8" t="n">
        <f aca="false">'재무상태표(BS)'!N11-'재무상태표(BS)'!O11</f>
        <v>178764</v>
      </c>
      <c r="P13" s="8" t="n">
        <f aca="false">'재무상태표(BS)'!O11-'재무상태표(BS)'!P11</f>
        <v>0</v>
      </c>
      <c r="Q13" s="8" t="n">
        <f aca="false">'재무상태표(BS)'!P11-'재무상태표(BS)'!Q11</f>
        <v>0</v>
      </c>
      <c r="R13" s="8" t="n">
        <f aca="false">'재무상태표(BS)'!Q11-'재무상태표(BS)'!R11</f>
        <v>0</v>
      </c>
      <c r="S13" s="8" t="n">
        <f aca="false">'재무상태표(BS)'!R11-'재무상태표(BS)'!S11</f>
        <v>0</v>
      </c>
      <c r="T13" s="8" t="n">
        <f aca="false">'재무상태표(BS)'!S11-'재무상태표(BS)'!T11</f>
        <v>0</v>
      </c>
      <c r="U13" s="8" t="n">
        <f aca="false">'재무상태표(BS)'!T11-'재무상태표(BS)'!U11</f>
        <v>0</v>
      </c>
      <c r="V13" s="8" t="n">
        <f aca="false">'재무상태표(BS)'!U11-'재무상태표(BS)'!V11</f>
        <v>0</v>
      </c>
      <c r="W13" s="8" t="n">
        <f aca="false">'재무상태표(BS)'!V11-'재무상태표(BS)'!W11</f>
        <v>0</v>
      </c>
      <c r="X13" s="8" t="n">
        <f aca="false">'재무상태표(BS)'!W11-'재무상태표(BS)'!X11</f>
        <v>0</v>
      </c>
      <c r="Y13" s="8" t="n">
        <f aca="false">'재무상태표(BS)'!X11-'재무상태표(BS)'!Y11</f>
        <v>0</v>
      </c>
      <c r="Z13" s="8" t="n">
        <f aca="false">'재무상태표(BS)'!Y11-'재무상태표(BS)'!Z11</f>
        <v>0</v>
      </c>
      <c r="AA13" s="8" t="n">
        <f aca="false">'재무상태표(BS)'!Z11-'재무상태표(BS)'!AA11</f>
        <v>0</v>
      </c>
      <c r="AB13" s="8" t="n">
        <f aca="false">'재무상태표(BS)'!AA11-'재무상태표(BS)'!AB11</f>
        <v>0</v>
      </c>
      <c r="AC13" s="8" t="n">
        <f aca="false">'재무상태표(BS)'!AB11-'재무상태표(BS)'!AC11</f>
        <v>0</v>
      </c>
      <c r="AD13" s="8" t="n">
        <f aca="false">'재무상태표(BS)'!AC11-'재무상태표(BS)'!AD11</f>
        <v>0</v>
      </c>
      <c r="AE13" s="8" t="n">
        <f aca="false">'재무상태표(BS)'!AD11-'재무상태표(BS)'!AE11</f>
        <v>0</v>
      </c>
      <c r="AF13" s="8" t="n">
        <f aca="false">'재무상태표(BS)'!AE11-'재무상태표(BS)'!AF11</f>
        <v>0</v>
      </c>
      <c r="AG13" s="8" t="n">
        <f aca="false">'재무상태표(BS)'!AF11-'재무상태표(BS)'!AG11</f>
        <v>0</v>
      </c>
      <c r="AH13" s="8" t="n">
        <f aca="false">'재무상태표(BS)'!AG11-'재무상태표(BS)'!AH11</f>
        <v>0</v>
      </c>
      <c r="AI13" s="8" t="n">
        <f aca="false">'재무상태표(BS)'!AH11-'재무상태표(BS)'!AI11</f>
        <v>0</v>
      </c>
      <c r="AJ13" s="8" t="n">
        <f aca="false">'재무상태표(BS)'!AI11-'재무상태표(BS)'!AJ11</f>
        <v>0</v>
      </c>
      <c r="AK13" s="8" t="n">
        <f aca="false">'재무상태표(BS)'!AJ11-'재무상태표(BS)'!AK11</f>
        <v>0</v>
      </c>
      <c r="AL13" s="8" t="n">
        <f aca="false">'재무상태표(BS)'!AK11-'재무상태표(BS)'!AL11</f>
        <v>0</v>
      </c>
      <c r="AM13" s="8" t="n">
        <f aca="false">'재무상태표(BS)'!AL11-'재무상태표(BS)'!AM11</f>
        <v>0</v>
      </c>
      <c r="AN13" s="8" t="n">
        <f aca="false">'재무상태표(BS)'!AM11-'재무상태표(BS)'!AN11</f>
        <v>0</v>
      </c>
      <c r="AO13" s="8" t="n">
        <f aca="false">'재무상태표(BS)'!AN11-'재무상태표(BS)'!AO11</f>
        <v>0</v>
      </c>
      <c r="AP13" s="8" t="n">
        <f aca="false">SUM(F13:M13)</f>
        <v>0</v>
      </c>
      <c r="AQ13" s="8" t="n">
        <f aca="false">SUM(N13:Y13)</f>
        <v>0</v>
      </c>
      <c r="AR13" s="8" t="n">
        <f aca="false">SUM(Z13:AK13)</f>
        <v>0</v>
      </c>
      <c r="AS13" s="8" t="n">
        <f aca="false">SUM(AL13:AO13)</f>
        <v>0</v>
      </c>
    </row>
    <row r="14" customFormat="false" ht="15" hidden="false" customHeight="false" outlineLevel="0" collapsed="false">
      <c r="A14" s="30" t="s">
        <v>264</v>
      </c>
      <c r="B14" s="10"/>
      <c r="F14" s="8" t="n">
        <f aca="false">'재무상태표(BS)'!F19-0</f>
        <v>0</v>
      </c>
      <c r="G14" s="8" t="n">
        <f aca="false">'재무상태표(BS)'!G19-'재무상태표(BS)'!F19</f>
        <v>0</v>
      </c>
      <c r="H14" s="8" t="n">
        <f aca="false">'재무상태표(BS)'!H19-'재무상태표(BS)'!G19</f>
        <v>0</v>
      </c>
      <c r="I14" s="8" t="n">
        <f aca="false">'재무상태표(BS)'!I19-'재무상태표(BS)'!H19</f>
        <v>0</v>
      </c>
      <c r="J14" s="8" t="n">
        <f aca="false">'재무상태표(BS)'!J19-'재무상태표(BS)'!I19</f>
        <v>0</v>
      </c>
      <c r="K14" s="8" t="n">
        <f aca="false">'재무상태표(BS)'!K19-'재무상태표(BS)'!J19</f>
        <v>0</v>
      </c>
      <c r="L14" s="8" t="n">
        <f aca="false">'재무상태표(BS)'!L19-'재무상태표(BS)'!K19</f>
        <v>0</v>
      </c>
      <c r="M14" s="8" t="n">
        <f aca="false">'재무상태표(BS)'!M19-'재무상태표(BS)'!L19</f>
        <v>56354</v>
      </c>
      <c r="N14" s="8" t="n">
        <f aca="false">'재무상태표(BS)'!N19-'재무상태표(BS)'!M19</f>
        <v>1614371</v>
      </c>
      <c r="O14" s="8" t="n">
        <f aca="false">'재무상태표(BS)'!O19-'재무상태표(BS)'!N19</f>
        <v>588893</v>
      </c>
      <c r="P14" s="8" t="n">
        <f aca="false">'재무상태표(BS)'!P19-'재무상태표(BS)'!O19</f>
        <v>972091</v>
      </c>
      <c r="Q14" s="8" t="n">
        <f aca="false">'재무상태표(BS)'!Q19-'재무상태표(BS)'!P19</f>
        <v>414540</v>
      </c>
      <c r="R14" s="8" t="n">
        <f aca="false">'재무상태표(BS)'!R19-'재무상태표(BS)'!Q19</f>
        <v>145239</v>
      </c>
      <c r="S14" s="8" t="n">
        <f aca="false">'재무상태표(BS)'!S19-'재무상태표(BS)'!R19</f>
        <v>354421</v>
      </c>
      <c r="T14" s="8" t="n">
        <f aca="false">'재무상태표(BS)'!T19-'재무상태표(BS)'!S19</f>
        <v>338073</v>
      </c>
      <c r="U14" s="8" t="n">
        <f aca="false">'재무상태표(BS)'!U19-'재무상태표(BS)'!T19</f>
        <v>774636</v>
      </c>
      <c r="V14" s="8" t="n">
        <f aca="false">'재무상태표(BS)'!V19-'재무상태표(BS)'!U19</f>
        <v>1023402</v>
      </c>
      <c r="W14" s="8" t="n">
        <f aca="false">'재무상태표(BS)'!W19-'재무상태표(BS)'!V19</f>
        <v>481708</v>
      </c>
      <c r="X14" s="8" t="n">
        <f aca="false">'재무상태표(BS)'!X19-'재무상태표(BS)'!W19</f>
        <v>29295</v>
      </c>
      <c r="Y14" s="8" t="n">
        <f aca="false">'재무상태표(BS)'!Y19-'재무상태표(BS)'!X19</f>
        <v>-27974</v>
      </c>
      <c r="Z14" s="8" t="n">
        <f aca="false">'재무상태표(BS)'!Z19-'재무상태표(BS)'!Y19</f>
        <v>721404</v>
      </c>
      <c r="AA14" s="8" t="n">
        <f aca="false">'재무상태표(BS)'!AA19-'재무상태표(BS)'!Z19</f>
        <v>937908</v>
      </c>
      <c r="AB14" s="8" t="n">
        <f aca="false">'재무상태표(BS)'!AB19-'재무상태표(BS)'!AA19</f>
        <v>1421076</v>
      </c>
      <c r="AC14" s="8" t="n">
        <f aca="false">'재무상태표(BS)'!AC19-'재무상태표(BS)'!AB19</f>
        <v>650866</v>
      </c>
      <c r="AD14" s="8" t="n">
        <f aca="false">'재무상태표(BS)'!AD19-'재무상태표(BS)'!AC19</f>
        <v>-103325</v>
      </c>
      <c r="AE14" s="8" t="n">
        <f aca="false">'재무상태표(BS)'!AE19-'재무상태표(BS)'!AD19</f>
        <v>-5096</v>
      </c>
      <c r="AF14" s="8" t="n">
        <f aca="false">'재무상태표(BS)'!AF19-'재무상태표(BS)'!AE19</f>
        <v>403028</v>
      </c>
      <c r="AG14" s="8" t="n">
        <f aca="false">'재무상태표(BS)'!AG19-'재무상태표(BS)'!AF19</f>
        <v>1165085</v>
      </c>
      <c r="AH14" s="8" t="n">
        <f aca="false">'재무상태표(BS)'!AH19-'재무상태표(BS)'!AG19</f>
        <v>1248867</v>
      </c>
      <c r="AI14" s="8" t="n">
        <f aca="false">'재무상태표(BS)'!AI19-'재무상태표(BS)'!AH19</f>
        <v>387973</v>
      </c>
      <c r="AJ14" s="8" t="n">
        <f aca="false">'재무상태표(BS)'!AJ19-'재무상태표(BS)'!AI19</f>
        <v>-422308</v>
      </c>
      <c r="AK14" s="8" t="n">
        <f aca="false">'재무상태표(BS)'!AK19-'재무상태표(BS)'!AJ19</f>
        <v>-490735</v>
      </c>
      <c r="AL14" s="8" t="n">
        <f aca="false">'재무상태표(BS)'!AL19-'재무상태표(BS)'!AK19</f>
        <v>429119</v>
      </c>
      <c r="AM14" s="8" t="n">
        <f aca="false">'재무상태표(BS)'!AM19-'재무상태표(BS)'!AL19</f>
        <v>967054</v>
      </c>
      <c r="AN14" s="8" t="n">
        <f aca="false">'재무상태표(BS)'!AN19-'재무상태표(BS)'!AM19</f>
        <v>702167</v>
      </c>
      <c r="AO14" s="8" t="n">
        <f aca="false">'재무상태표(BS)'!AO19-'재무상태표(BS)'!AN19</f>
        <v>448995</v>
      </c>
      <c r="AP14" s="8" t="n">
        <f aca="false">SUM(F14:M14)</f>
        <v>56354</v>
      </c>
      <c r="AQ14" s="8" t="n">
        <f aca="false">SUM(N14:Y14)</f>
        <v>6708695</v>
      </c>
      <c r="AR14" s="8" t="n">
        <f aca="false">SUM(Z14:AK14)</f>
        <v>5914743</v>
      </c>
      <c r="AS14" s="8" t="n">
        <f aca="false">SUM(AL14:AO14)</f>
        <v>2547335</v>
      </c>
    </row>
    <row r="15" customFormat="false" ht="15" hidden="false" customHeight="false" outlineLevel="0" collapsed="false">
      <c r="A15" s="30" t="s">
        <v>265</v>
      </c>
      <c r="B15" s="10"/>
      <c r="F15" s="8" t="n">
        <f aca="false">'재무상태표(BS)'!F20-0</f>
        <v>2500000</v>
      </c>
      <c r="G15" s="8" t="n">
        <f aca="false">'재무상태표(BS)'!G20-'재무상태표(BS)'!F20</f>
        <v>1500000</v>
      </c>
      <c r="H15" s="8" t="n">
        <f aca="false">'재무상태표(BS)'!H20-'재무상태표(BS)'!G20</f>
        <v>1500000</v>
      </c>
      <c r="I15" s="8" t="n">
        <f aca="false">'재무상태표(BS)'!I20-'재무상태표(BS)'!H20</f>
        <v>1500000</v>
      </c>
      <c r="J15" s="8" t="n">
        <f aca="false">'재무상태표(BS)'!J20-'재무상태표(BS)'!I20</f>
        <v>1000000</v>
      </c>
      <c r="K15" s="8" t="n">
        <f aca="false">'재무상태표(BS)'!K20-'재무상태표(BS)'!J20</f>
        <v>1000000</v>
      </c>
      <c r="L15" s="8" t="n">
        <f aca="false">'재무상태표(BS)'!L20-'재무상태표(BS)'!K20</f>
        <v>500000</v>
      </c>
      <c r="M15" s="8" t="n">
        <f aca="false">'재무상태표(BS)'!M20-'재무상태표(BS)'!L20</f>
        <v>488590</v>
      </c>
      <c r="N15" s="8" t="n">
        <f aca="false">'재무상태표(BS)'!N20-'재무상태표(BS)'!M20</f>
        <v>-6543390</v>
      </c>
      <c r="O15" s="8" t="n">
        <f aca="false">'재무상태표(BS)'!O20-'재무상태표(BS)'!N20</f>
        <v>1694000</v>
      </c>
      <c r="P15" s="8" t="n">
        <f aca="false">'재무상태표(BS)'!P20-'재무상태표(BS)'!O20</f>
        <v>1677280</v>
      </c>
      <c r="Q15" s="8" t="n">
        <f aca="false">'재무상태표(BS)'!Q20-'재무상태표(BS)'!P20</f>
        <v>2419789</v>
      </c>
      <c r="R15" s="8" t="n">
        <f aca="false">'재무상태표(BS)'!R20-'재무상태표(BS)'!Q20</f>
        <v>-4837863</v>
      </c>
      <c r="S15" s="8" t="n">
        <f aca="false">'재무상태표(BS)'!S20-'재무상태표(BS)'!R20</f>
        <v>-32478</v>
      </c>
      <c r="T15" s="8" t="n">
        <f aca="false">'재무상태표(BS)'!T20-'재무상태표(BS)'!S20</f>
        <v>337618</v>
      </c>
      <c r="U15" s="8" t="n">
        <f aca="false">'재무상태표(BS)'!U20-'재무상태표(BS)'!T20</f>
        <v>1247340</v>
      </c>
      <c r="V15" s="8" t="n">
        <f aca="false">'재무상태표(BS)'!V20-'재무상태표(BS)'!U20</f>
        <v>636415</v>
      </c>
      <c r="W15" s="8" t="n">
        <f aca="false">'재무상태표(BS)'!W20-'재무상태표(BS)'!V20</f>
        <v>2072920</v>
      </c>
      <c r="X15" s="8" t="n">
        <f aca="false">'재무상태표(BS)'!X20-'재무상태표(BS)'!W20</f>
        <v>-2449485</v>
      </c>
      <c r="Y15" s="8" t="n">
        <f aca="false">'재무상태표(BS)'!Y20-'재무상태표(BS)'!X20</f>
        <v>-148193</v>
      </c>
      <c r="Z15" s="8" t="n">
        <f aca="false">'재무상태표(BS)'!Z20-'재무상태표(BS)'!Y20</f>
        <v>3431340</v>
      </c>
      <c r="AA15" s="8" t="n">
        <f aca="false">'재무상태표(BS)'!AA20-'재무상태표(BS)'!Z20</f>
        <v>1444105</v>
      </c>
      <c r="AB15" s="8" t="n">
        <f aca="false">'재무상태표(BS)'!AB20-'재무상태표(BS)'!AA20</f>
        <v>2709951</v>
      </c>
      <c r="AC15" s="8" t="n">
        <f aca="false">'재무상태표(BS)'!AC20-'재무상태표(BS)'!AB20</f>
        <v>700670</v>
      </c>
      <c r="AD15" s="8" t="n">
        <f aca="false">'재무상태표(BS)'!AD20-'재무상태표(BS)'!AC20</f>
        <v>-4514824</v>
      </c>
      <c r="AE15" s="8" t="n">
        <f aca="false">'재무상태표(BS)'!AE20-'재무상태표(BS)'!AD20</f>
        <v>-219602</v>
      </c>
      <c r="AF15" s="8" t="n">
        <f aca="false">'재무상태표(BS)'!AF20-'재무상태표(BS)'!AE20</f>
        <v>401275</v>
      </c>
      <c r="AG15" s="8" t="n">
        <f aca="false">'재무상태표(BS)'!AG20-'재무상태표(BS)'!AF20</f>
        <v>1912470</v>
      </c>
      <c r="AH15" s="8" t="n">
        <f aca="false">'재무상태표(BS)'!AH20-'재무상태표(BS)'!AG20</f>
        <v>1828098</v>
      </c>
      <c r="AI15" s="8" t="n">
        <f aca="false">'재무상태표(BS)'!AI20-'재무상태표(BS)'!AH20</f>
        <v>1918634</v>
      </c>
      <c r="AJ15" s="8" t="n">
        <f aca="false">'재무상태표(BS)'!AJ20-'재무상태표(BS)'!AI20</f>
        <v>-5242805</v>
      </c>
      <c r="AK15" s="8" t="n">
        <f aca="false">'재무상태표(BS)'!AK20-'재무상태표(BS)'!AJ20</f>
        <v>-636817</v>
      </c>
      <c r="AL15" s="8" t="n">
        <f aca="false">'재무상태표(BS)'!AL20-'재무상태표(BS)'!AK20</f>
        <v>1316268</v>
      </c>
      <c r="AM15" s="8" t="n">
        <f aca="false">'재무상태표(BS)'!AM20-'재무상태표(BS)'!AL20</f>
        <v>1754431</v>
      </c>
      <c r="AN15" s="8" t="n">
        <f aca="false">'재무상태표(BS)'!AN20-'재무상태표(BS)'!AM20</f>
        <v>3320670</v>
      </c>
      <c r="AO15" s="8" t="n">
        <f aca="false">'재무상태표(BS)'!AO20-'재무상태표(BS)'!AN20</f>
        <v>1336147</v>
      </c>
      <c r="AP15" s="8" t="n">
        <f aca="false">SUM(F15:M15)</f>
        <v>9988590</v>
      </c>
      <c r="AQ15" s="8" t="n">
        <f aca="false">SUM(N15:Y15)</f>
        <v>-3926047</v>
      </c>
      <c r="AR15" s="8" t="n">
        <f aca="false">SUM(Z15:AK15)</f>
        <v>3732495</v>
      </c>
      <c r="AS15" s="8" t="n">
        <f aca="false">SUM(AL15:AO15)</f>
        <v>7727516</v>
      </c>
    </row>
    <row r="16" customFormat="false" ht="15" hidden="false" customHeight="false" outlineLevel="0" collapsed="false">
      <c r="A16" s="30" t="s">
        <v>266</v>
      </c>
      <c r="B16" s="10"/>
      <c r="F16" s="8" t="n">
        <f aca="false">'재무상태표(BS)'!F21-0</f>
        <v>0</v>
      </c>
      <c r="G16" s="8" t="n">
        <f aca="false">'재무상태표(BS)'!G21-'재무상태표(BS)'!F21</f>
        <v>120000</v>
      </c>
      <c r="H16" s="8" t="n">
        <f aca="false">'재무상태표(BS)'!H21-'재무상태표(BS)'!G21</f>
        <v>30000</v>
      </c>
      <c r="I16" s="8" t="n">
        <f aca="false">'재무상태표(BS)'!I21-'재무상태표(BS)'!H21</f>
        <v>30000</v>
      </c>
      <c r="J16" s="8" t="n">
        <f aca="false">'재무상태표(BS)'!J21-'재무상태표(BS)'!I21</f>
        <v>120000</v>
      </c>
      <c r="K16" s="8" t="n">
        <f aca="false">'재무상태표(BS)'!K21-'재무상태표(BS)'!J21</f>
        <v>50000</v>
      </c>
      <c r="L16" s="8" t="n">
        <f aca="false">'재무상태표(BS)'!L21-'재무상태표(BS)'!K21</f>
        <v>50000</v>
      </c>
      <c r="M16" s="8" t="n">
        <f aca="false">'재무상태표(BS)'!M21-'재무상태표(BS)'!L21</f>
        <v>175420</v>
      </c>
      <c r="N16" s="8" t="n">
        <f aca="false">'재무상태표(BS)'!N21-'재무상태표(BS)'!M21</f>
        <v>1778980</v>
      </c>
      <c r="O16" s="8" t="n">
        <f aca="false">'재무상태표(BS)'!O21-'재무상태표(BS)'!N21</f>
        <v>0</v>
      </c>
      <c r="P16" s="8" t="n">
        <f aca="false">'재무상태표(BS)'!P21-'재무상태표(BS)'!O21</f>
        <v>0</v>
      </c>
      <c r="Q16" s="8" t="n">
        <f aca="false">'재무상태표(BS)'!Q21-'재무상태표(BS)'!P21</f>
        <v>1787600</v>
      </c>
      <c r="R16" s="8" t="n">
        <f aca="false">'재무상태표(BS)'!R21-'재무상태표(BS)'!Q21</f>
        <v>0</v>
      </c>
      <c r="S16" s="8" t="n">
        <f aca="false">'재무상태표(BS)'!S21-'재무상태표(BS)'!R21</f>
        <v>0</v>
      </c>
      <c r="T16" s="8" t="n">
        <f aca="false">'재무상태표(BS)'!T21-'재무상태표(BS)'!S21</f>
        <v>872000</v>
      </c>
      <c r="U16" s="8" t="n">
        <f aca="false">'재무상태표(BS)'!U21-'재무상태표(BS)'!T21</f>
        <v>0</v>
      </c>
      <c r="V16" s="8" t="n">
        <f aca="false">'재무상태표(BS)'!V21-'재무상태표(BS)'!U21</f>
        <v>0</v>
      </c>
      <c r="W16" s="8" t="n">
        <f aca="false">'재무상태표(BS)'!W21-'재무상태표(BS)'!V21</f>
        <v>0</v>
      </c>
      <c r="X16" s="8" t="n">
        <f aca="false">'재무상태표(BS)'!X21-'재무상태표(BS)'!W21</f>
        <v>0</v>
      </c>
      <c r="Y16" s="8" t="n">
        <f aca="false">'재무상태표(BS)'!Y21-'재무상태표(BS)'!X21</f>
        <v>0</v>
      </c>
      <c r="Z16" s="8" t="n">
        <f aca="false">'재무상태표(BS)'!Z21-'재무상태표(BS)'!Y21</f>
        <v>250700</v>
      </c>
      <c r="AA16" s="8" t="n">
        <f aca="false">'재무상태표(BS)'!AA21-'재무상태표(BS)'!Z21</f>
        <v>0</v>
      </c>
      <c r="AB16" s="8" t="n">
        <f aca="false">'재무상태표(BS)'!AB21-'재무상태표(BS)'!AA21</f>
        <v>824040</v>
      </c>
      <c r="AC16" s="8" t="n">
        <f aca="false">'재무상태표(BS)'!AC21-'재무상태표(BS)'!AB21</f>
        <v>0</v>
      </c>
      <c r="AD16" s="8" t="n">
        <f aca="false">'재무상태표(BS)'!AD21-'재무상태표(BS)'!AC21</f>
        <v>0</v>
      </c>
      <c r="AE16" s="8" t="n">
        <f aca="false">'재무상태표(BS)'!AE21-'재무상태표(BS)'!AD21</f>
        <v>732480</v>
      </c>
      <c r="AF16" s="8" t="n">
        <f aca="false">'재무상태표(BS)'!AF21-'재무상태표(BS)'!AE21</f>
        <v>0</v>
      </c>
      <c r="AG16" s="8" t="n">
        <f aca="false">'재무상태표(BS)'!AG21-'재무상태표(BS)'!AF21</f>
        <v>0</v>
      </c>
      <c r="AH16" s="8" t="n">
        <f aca="false">'재무상태표(BS)'!AH21-'재무상태표(BS)'!AG21</f>
        <v>1144500</v>
      </c>
      <c r="AI16" s="8" t="n">
        <f aca="false">'재무상태표(BS)'!AI21-'재무상태표(BS)'!AH21</f>
        <v>0</v>
      </c>
      <c r="AJ16" s="8" t="n">
        <f aca="false">'재무상태표(BS)'!AJ21-'재무상태표(BS)'!AI21</f>
        <v>0</v>
      </c>
      <c r="AK16" s="8" t="n">
        <f aca="false">'재무상태표(BS)'!AK21-'재무상태표(BS)'!AJ21</f>
        <v>0</v>
      </c>
      <c r="AL16" s="8" t="n">
        <f aca="false">'재무상태표(BS)'!AL21-'재무상태표(BS)'!AK21</f>
        <v>398286</v>
      </c>
      <c r="AM16" s="8" t="n">
        <f aca="false">'재무상태표(BS)'!AM21-'재무상태표(BS)'!AL21</f>
        <v>0</v>
      </c>
      <c r="AN16" s="8" t="n">
        <f aca="false">'재무상태표(BS)'!AN21-'재무상태표(BS)'!AM21</f>
        <v>0</v>
      </c>
      <c r="AO16" s="8" t="n">
        <f aca="false">'재무상태표(BS)'!AO21-'재무상태표(BS)'!AN21</f>
        <v>0</v>
      </c>
      <c r="AP16" s="8" t="n">
        <f aca="false">SUM(F16:M16)</f>
        <v>575420</v>
      </c>
      <c r="AQ16" s="8" t="n">
        <f aca="false">SUM(N16:Y16)</f>
        <v>4438580</v>
      </c>
      <c r="AR16" s="8" t="n">
        <f aca="false">SUM(Z16:AK16)</f>
        <v>2951720</v>
      </c>
      <c r="AS16" s="8" t="n">
        <f aca="false">SUM(AL16:AO16)</f>
        <v>398286</v>
      </c>
    </row>
    <row r="17" customFormat="false" ht="15" hidden="false" customHeight="false" outlineLevel="0" collapsed="false">
      <c r="A17" s="30" t="s">
        <v>267</v>
      </c>
      <c r="B17" s="10"/>
      <c r="F17" s="8" t="n">
        <f aca="false">'재무상태표(BS)'!F22-0</f>
        <v>0</v>
      </c>
      <c r="G17" s="8" t="n">
        <f aca="false">'재무상태표(BS)'!G22-'재무상태표(BS)'!F22</f>
        <v>0</v>
      </c>
      <c r="H17" s="8" t="n">
        <f aca="false">'재무상태표(BS)'!H22-'재무상태표(BS)'!G22</f>
        <v>0</v>
      </c>
      <c r="I17" s="8" t="n">
        <f aca="false">'재무상태표(BS)'!I22-'재무상태표(BS)'!H22</f>
        <v>0</v>
      </c>
      <c r="J17" s="8" t="n">
        <f aca="false">'재무상태표(BS)'!J22-'재무상태표(BS)'!I22</f>
        <v>0</v>
      </c>
      <c r="K17" s="8" t="n">
        <f aca="false">'재무상태표(BS)'!K22-'재무상태표(BS)'!J22</f>
        <v>0</v>
      </c>
      <c r="L17" s="8" t="n">
        <f aca="false">'재무상태표(BS)'!L22-'재무상태표(BS)'!K22</f>
        <v>0</v>
      </c>
      <c r="M17" s="8" t="n">
        <f aca="false">'재무상태표(BS)'!M22-'재무상태표(BS)'!L22</f>
        <v>0</v>
      </c>
      <c r="N17" s="8" t="n">
        <f aca="false">'재무상태표(BS)'!N22-'재무상태표(BS)'!M22</f>
        <v>0</v>
      </c>
      <c r="O17" s="8" t="n">
        <f aca="false">'재무상태표(BS)'!O22-'재무상태표(BS)'!N22</f>
        <v>0</v>
      </c>
      <c r="P17" s="8" t="n">
        <f aca="false">'재무상태표(BS)'!P22-'재무상태표(BS)'!O22</f>
        <v>3360000</v>
      </c>
      <c r="Q17" s="8" t="n">
        <f aca="false">'재무상태표(BS)'!Q22-'재무상태표(BS)'!P22</f>
        <v>-134400</v>
      </c>
      <c r="R17" s="8" t="n">
        <f aca="false">'재무상태표(BS)'!R22-'재무상태표(BS)'!Q22</f>
        <v>833904</v>
      </c>
      <c r="S17" s="8" t="n">
        <f aca="false">'재무상태표(BS)'!S22-'재무상태표(BS)'!R22</f>
        <v>17958</v>
      </c>
      <c r="T17" s="8" t="n">
        <f aca="false">'재무상태표(BS)'!T22-'재무상태표(BS)'!S22</f>
        <v>1106715</v>
      </c>
      <c r="U17" s="8" t="n">
        <f aca="false">'재무상태표(BS)'!U22-'재무상태표(BS)'!T22</f>
        <v>2628942</v>
      </c>
      <c r="V17" s="8" t="n">
        <f aca="false">'재무상태표(BS)'!V22-'재무상태표(BS)'!U22</f>
        <v>3227907</v>
      </c>
      <c r="W17" s="8" t="n">
        <f aca="false">'재무상태표(BS)'!W22-'재무상태표(BS)'!V22</f>
        <v>-1053821</v>
      </c>
      <c r="X17" s="8" t="n">
        <f aca="false">'재무상태표(BS)'!X22-'재무상태표(BS)'!W22</f>
        <v>-1516493</v>
      </c>
      <c r="Y17" s="8" t="n">
        <f aca="false">'재무상태표(BS)'!Y22-'재무상태표(BS)'!X22</f>
        <v>-1018919</v>
      </c>
      <c r="Z17" s="8" t="n">
        <f aca="false">'재무상태표(BS)'!Z22-'재무상태표(BS)'!Y22</f>
        <v>2644038</v>
      </c>
      <c r="AA17" s="8" t="n">
        <f aca="false">'재무상태표(BS)'!AA22-'재무상태표(BS)'!Z22</f>
        <v>2907009</v>
      </c>
      <c r="AB17" s="8" t="n">
        <f aca="false">'재무상태표(BS)'!AB22-'재무상태표(BS)'!AA22</f>
        <v>4436448</v>
      </c>
      <c r="AC17" s="8" t="n">
        <f aca="false">'재무상태표(BS)'!AC22-'재무상태표(BS)'!AB22</f>
        <v>-1686903</v>
      </c>
      <c r="AD17" s="8" t="n">
        <f aca="false">'재무상태표(BS)'!AD22-'재무상태표(BS)'!AC22</f>
        <v>-3302046</v>
      </c>
      <c r="AE17" s="8" t="n">
        <f aca="false">'재무상태표(BS)'!AE22-'재무상태표(BS)'!AD22</f>
        <v>-787306</v>
      </c>
      <c r="AF17" s="8" t="n">
        <f aca="false">'재무상태표(BS)'!AF22-'재무상태표(BS)'!AE22</f>
        <v>2164864</v>
      </c>
      <c r="AG17" s="8" t="n">
        <f aca="false">'재무상태표(BS)'!AG22-'재무상태표(BS)'!AF22</f>
        <v>5603153</v>
      </c>
      <c r="AH17" s="8" t="n">
        <f aca="false">'재무상태표(BS)'!AH22-'재무상태표(BS)'!AG22</f>
        <v>6167596</v>
      </c>
      <c r="AI17" s="8" t="n">
        <f aca="false">'재무상태표(BS)'!AI22-'재무상태표(BS)'!AH22</f>
        <v>-4014890</v>
      </c>
      <c r="AJ17" s="8" t="n">
        <f aca="false">'재무상태표(BS)'!AJ22-'재무상태표(BS)'!AI22</f>
        <v>-4522239</v>
      </c>
      <c r="AK17" s="8" t="n">
        <f aca="false">'재무상태표(BS)'!AK22-'재무상태표(BS)'!AJ22</f>
        <v>-3074925</v>
      </c>
      <c r="AL17" s="8" t="n">
        <f aca="false">'재무상태표(BS)'!AL22-'재무상태표(BS)'!AK22</f>
        <v>4535653</v>
      </c>
      <c r="AM17" s="8" t="n">
        <f aca="false">'재무상태표(BS)'!AM22-'재무상태표(BS)'!AL22</f>
        <v>4795203</v>
      </c>
      <c r="AN17" s="8" t="n">
        <f aca="false">'재무상태표(BS)'!AN22-'재무상태표(BS)'!AM22</f>
        <v>7249606</v>
      </c>
      <c r="AO17" s="8" t="n">
        <f aca="false">'재무상태표(BS)'!AO22-'재무상태표(BS)'!AN22</f>
        <v>-3580712</v>
      </c>
      <c r="AP17" s="8" t="n">
        <f aca="false">SUM(F17:M17)</f>
        <v>0</v>
      </c>
      <c r="AQ17" s="8" t="n">
        <f aca="false">SUM(N17:Y17)</f>
        <v>7451793</v>
      </c>
      <c r="AR17" s="8" t="n">
        <f aca="false">SUM(Z17:AK17)</f>
        <v>6534799</v>
      </c>
      <c r="AS17" s="8" t="n">
        <f aca="false">SUM(AL17:AO17)</f>
        <v>12999750</v>
      </c>
    </row>
    <row r="18" customFormat="false" ht="15" hidden="false" customHeight="false" outlineLevel="0" collapsed="false">
      <c r="A18" s="30" t="s">
        <v>268</v>
      </c>
      <c r="B18" s="10"/>
      <c r="F18" s="8" t="n">
        <f aca="false">'재무상태표(BS)'!F23-0</f>
        <v>0</v>
      </c>
      <c r="G18" s="8" t="n">
        <f aca="false">'재무상태표(BS)'!G23-'재무상태표(BS)'!F23</f>
        <v>0</v>
      </c>
      <c r="H18" s="8" t="n">
        <f aca="false">'재무상태표(BS)'!H23-'재무상태표(BS)'!G23</f>
        <v>0</v>
      </c>
      <c r="I18" s="8" t="n">
        <f aca="false">'재무상태표(BS)'!I23-'재무상태표(BS)'!H23</f>
        <v>0</v>
      </c>
      <c r="J18" s="8" t="n">
        <f aca="false">'재무상태표(BS)'!J23-'재무상태표(BS)'!I23</f>
        <v>0</v>
      </c>
      <c r="K18" s="8" t="n">
        <f aca="false">'재무상태표(BS)'!K23-'재무상태표(BS)'!J23</f>
        <v>0</v>
      </c>
      <c r="L18" s="8" t="n">
        <f aca="false">'재무상태표(BS)'!L23-'재무상태표(BS)'!K23</f>
        <v>0</v>
      </c>
      <c r="M18" s="8" t="n">
        <f aca="false">'재무상태표(BS)'!M23-'재무상태표(BS)'!L23</f>
        <v>0</v>
      </c>
      <c r="N18" s="8" t="n">
        <f aca="false">'재무상태표(BS)'!N23-'재무상태표(BS)'!M23</f>
        <v>0</v>
      </c>
      <c r="O18" s="8" t="n">
        <f aca="false">'재무상태표(BS)'!O23-'재무상태표(BS)'!N23</f>
        <v>286592</v>
      </c>
      <c r="P18" s="8" t="n">
        <f aca="false">'재무상태표(BS)'!P23-'재무상태표(BS)'!O23</f>
        <v>2462733</v>
      </c>
      <c r="Q18" s="8" t="n">
        <f aca="false">'재무상태표(BS)'!Q23-'재무상태표(BS)'!P23</f>
        <v>-2266459</v>
      </c>
      <c r="R18" s="8" t="n">
        <f aca="false">'재무상태표(BS)'!R23-'재무상태표(BS)'!Q23</f>
        <v>1022940</v>
      </c>
      <c r="S18" s="8" t="n">
        <f aca="false">'재무상태표(BS)'!S23-'재무상태표(BS)'!R23</f>
        <v>1230761</v>
      </c>
      <c r="T18" s="8" t="n">
        <f aca="false">'재무상태표(BS)'!T23-'재무상태표(BS)'!S23</f>
        <v>-1615673</v>
      </c>
      <c r="U18" s="8" t="n">
        <f aca="false">'재무상태표(BS)'!U23-'재무상태표(BS)'!T23</f>
        <v>1663167</v>
      </c>
      <c r="V18" s="8" t="n">
        <f aca="false">'재무상태표(BS)'!V23-'재무상태표(BS)'!U23</f>
        <v>4112182</v>
      </c>
      <c r="W18" s="8" t="n">
        <f aca="false">'재무상태표(BS)'!W23-'재무상태표(BS)'!V23</f>
        <v>-4127605</v>
      </c>
      <c r="X18" s="8" t="n">
        <f aca="false">'재무상태표(BS)'!X23-'재무상태표(BS)'!W23</f>
        <v>1935486</v>
      </c>
      <c r="Y18" s="8" t="n">
        <f aca="false">'재무상태표(BS)'!Y23-'재무상태표(BS)'!X23</f>
        <v>1167235</v>
      </c>
      <c r="Z18" s="8" t="n">
        <f aca="false">'재무상태표(BS)'!Z23-'재무상태표(BS)'!Y23</f>
        <v>-3803560</v>
      </c>
      <c r="AA18" s="8" t="n">
        <f aca="false">'재무상태표(BS)'!AA23-'재무상태표(BS)'!Z23</f>
        <v>2361132</v>
      </c>
      <c r="AB18" s="8" t="n">
        <f aca="false">'재무상태표(BS)'!AB23-'재무상태표(BS)'!AA23</f>
        <v>8990653</v>
      </c>
      <c r="AC18" s="8" t="n">
        <f aca="false">'재무상태표(BS)'!AC23-'재무상태표(BS)'!AB23</f>
        <v>-9347084</v>
      </c>
      <c r="AD18" s="8" t="n">
        <f aca="false">'재무상태표(BS)'!AD23-'재무상태표(BS)'!AC23</f>
        <v>2955211</v>
      </c>
      <c r="AE18" s="8" t="n">
        <f aca="false">'재무상태표(BS)'!AE23-'재무상태표(BS)'!AD23</f>
        <v>3283665</v>
      </c>
      <c r="AF18" s="8" t="n">
        <f aca="false">'재무상태표(BS)'!AF23-'재무상태표(BS)'!AE23</f>
        <v>-6890305</v>
      </c>
      <c r="AG18" s="8" t="n">
        <f aca="false">'재무상태표(BS)'!AG23-'재무상태표(BS)'!AF23</f>
        <v>3964608</v>
      </c>
      <c r="AH18" s="8" t="n">
        <f aca="false">'재무상태표(BS)'!AH23-'재무상태표(BS)'!AG23</f>
        <v>9002328</v>
      </c>
      <c r="AI18" s="8" t="n">
        <f aca="false">'재무상태표(BS)'!AI23-'재무상태표(BS)'!AH23</f>
        <v>-10530275</v>
      </c>
      <c r="AJ18" s="8" t="n">
        <f aca="false">'재무상태표(BS)'!AJ23-'재무상태표(BS)'!AI23</f>
        <v>4293118</v>
      </c>
      <c r="AK18" s="8" t="n">
        <f aca="false">'재무상태표(BS)'!AK23-'재무상태표(BS)'!AJ23</f>
        <v>4365658</v>
      </c>
      <c r="AL18" s="8" t="n">
        <f aca="false">'재무상태표(BS)'!AL23-'재무상태표(BS)'!AK23</f>
        <v>-9846363</v>
      </c>
      <c r="AM18" s="8" t="n">
        <f aca="false">'재무상태표(BS)'!AM23-'재무상태표(BS)'!AL23</f>
        <v>4998347</v>
      </c>
      <c r="AN18" s="8" t="n">
        <f aca="false">'재무상태표(BS)'!AN23-'재무상태표(BS)'!AM23</f>
        <v>11499381</v>
      </c>
      <c r="AO18" s="8" t="n">
        <f aca="false">'재무상태표(BS)'!AO23-'재무상태표(BS)'!AN23</f>
        <v>-13813448</v>
      </c>
      <c r="AP18" s="8" t="n">
        <f aca="false">SUM(F18:M18)</f>
        <v>0</v>
      </c>
      <c r="AQ18" s="8" t="n">
        <f aca="false">SUM(N18:Y18)</f>
        <v>5871359</v>
      </c>
      <c r="AR18" s="8" t="n">
        <f aca="false">SUM(Z18:AK18)</f>
        <v>8645149</v>
      </c>
      <c r="AS18" s="8" t="n">
        <f aca="false">SUM(AL18:AO18)</f>
        <v>-7162083</v>
      </c>
    </row>
    <row r="19" customFormat="false" ht="15" hidden="false" customHeight="false" outlineLevel="0" collapsed="false">
      <c r="A19" s="30" t="s">
        <v>269</v>
      </c>
      <c r="B19" s="10"/>
      <c r="F19" s="8" t="n">
        <f aca="false">'재무상태표(BS)'!F24-0</f>
        <v>0</v>
      </c>
      <c r="G19" s="8" t="n">
        <f aca="false">'재무상태표(BS)'!G24-'재무상태표(BS)'!F24</f>
        <v>0</v>
      </c>
      <c r="H19" s="8" t="n">
        <f aca="false">'재무상태표(BS)'!H24-'재무상태표(BS)'!G24</f>
        <v>0</v>
      </c>
      <c r="I19" s="8" t="n">
        <f aca="false">'재무상태표(BS)'!I24-'재무상태표(BS)'!H24</f>
        <v>0</v>
      </c>
      <c r="J19" s="8" t="n">
        <f aca="false">'재무상태표(BS)'!J24-'재무상태표(BS)'!I24</f>
        <v>0</v>
      </c>
      <c r="K19" s="8" t="n">
        <f aca="false">'재무상태표(BS)'!K24-'재무상태표(BS)'!J24</f>
        <v>0</v>
      </c>
      <c r="L19" s="8" t="n">
        <f aca="false">'재무상태표(BS)'!L24-'재무상태표(BS)'!K24</f>
        <v>0</v>
      </c>
      <c r="M19" s="8" t="n">
        <f aca="false">'재무상태표(BS)'!M24-'재무상태표(BS)'!L24</f>
        <v>0</v>
      </c>
      <c r="N19" s="8" t="n">
        <f aca="false">'재무상태표(BS)'!N24-'재무상태표(BS)'!M24</f>
        <v>1509263</v>
      </c>
      <c r="O19" s="8" t="n">
        <f aca="false">'재무상태표(BS)'!O24-'재무상태표(BS)'!N24</f>
        <v>2195812</v>
      </c>
      <c r="P19" s="8" t="n">
        <f aca="false">'재무상태표(BS)'!P24-'재무상태표(BS)'!O24</f>
        <v>16432407</v>
      </c>
      <c r="Q19" s="8" t="n">
        <f aca="false">'재무상태표(BS)'!Q24-'재무상태표(BS)'!P24</f>
        <v>790174</v>
      </c>
      <c r="R19" s="8" t="n">
        <f aca="false">'재무상태표(BS)'!R24-'재무상태표(BS)'!Q24</f>
        <v>-30169</v>
      </c>
      <c r="S19" s="8" t="n">
        <f aca="false">'재무상태표(BS)'!S24-'재무상태표(BS)'!R24</f>
        <v>1117655</v>
      </c>
      <c r="T19" s="8" t="n">
        <f aca="false">'재무상태표(BS)'!T24-'재무상태표(BS)'!S24</f>
        <v>-480333</v>
      </c>
      <c r="U19" s="8" t="n">
        <f aca="false">'재무상태표(BS)'!U24-'재무상태표(BS)'!T24</f>
        <v>625527</v>
      </c>
      <c r="V19" s="8" t="n">
        <f aca="false">'재무상태표(BS)'!V24-'재무상태표(BS)'!U24</f>
        <v>15087950</v>
      </c>
      <c r="W19" s="8" t="n">
        <f aca="false">'재무상태표(BS)'!W24-'재무상태표(BS)'!V24</f>
        <v>-1052344</v>
      </c>
      <c r="X19" s="8" t="n">
        <f aca="false">'재무상태표(BS)'!X24-'재무상태표(BS)'!W24</f>
        <v>-2349817</v>
      </c>
      <c r="Y19" s="8" t="n">
        <f aca="false">'재무상태표(BS)'!Y24-'재무상태표(BS)'!X24</f>
        <v>-332913</v>
      </c>
      <c r="Z19" s="8" t="n">
        <f aca="false">'재무상태표(BS)'!Z24-'재무상태표(BS)'!Y24</f>
        <v>-1127563</v>
      </c>
      <c r="AA19" s="8" t="n">
        <f aca="false">'재무상태표(BS)'!AA24-'재무상태표(BS)'!Z24</f>
        <v>9703</v>
      </c>
      <c r="AB19" s="8" t="n">
        <f aca="false">'재무상태표(BS)'!AB24-'재무상태표(BS)'!AA24</f>
        <v>56059396</v>
      </c>
      <c r="AC19" s="8" t="n">
        <f aca="false">'재무상태표(BS)'!AC24-'재무상태표(BS)'!AB24</f>
        <v>-3592216</v>
      </c>
      <c r="AD19" s="8" t="n">
        <f aca="false">'재무상태표(BS)'!AD24-'재무상태표(BS)'!AC24</f>
        <v>-5974642</v>
      </c>
      <c r="AE19" s="8" t="n">
        <f aca="false">'재무상태표(BS)'!AE24-'재무상태표(BS)'!AD24</f>
        <v>-2638038</v>
      </c>
      <c r="AF19" s="8" t="n">
        <f aca="false">'재무상태표(BS)'!AF24-'재무상태표(BS)'!AE24</f>
        <v>-5645798</v>
      </c>
      <c r="AG19" s="8" t="n">
        <f aca="false">'재무상태표(BS)'!AG24-'재무상태표(BS)'!AF24</f>
        <v>-3020092</v>
      </c>
      <c r="AH19" s="8" t="n">
        <f aca="false">'재무상태표(BS)'!AH24-'재무상태표(BS)'!AG24</f>
        <v>34204442</v>
      </c>
      <c r="AI19" s="8" t="n">
        <f aca="false">'재무상태표(BS)'!AI24-'재무상태표(BS)'!AH24</f>
        <v>-6183481</v>
      </c>
      <c r="AJ19" s="8" t="n">
        <f aca="false">'재무상태표(BS)'!AJ24-'재무상태표(BS)'!AI24</f>
        <v>-8899269</v>
      </c>
      <c r="AK19" s="8" t="n">
        <f aca="false">'재무상태표(BS)'!AK24-'재무상태표(BS)'!AJ24</f>
        <v>-5673774</v>
      </c>
      <c r="AL19" s="8" t="n">
        <f aca="false">'재무상태표(BS)'!AL24-'재무상태표(BS)'!AK24</f>
        <v>-7528641</v>
      </c>
      <c r="AM19" s="8" t="n">
        <f aca="false">'재무상태표(BS)'!AM24-'재무상태표(BS)'!AL24</f>
        <v>-5538356</v>
      </c>
      <c r="AN19" s="8" t="n">
        <f aca="false">'재무상태표(BS)'!AN24-'재무상태표(BS)'!AM24</f>
        <v>47266267</v>
      </c>
      <c r="AO19" s="8" t="n">
        <f aca="false">'재무상태표(BS)'!AO24-'재무상태표(BS)'!AN24</f>
        <v>-4927367</v>
      </c>
      <c r="AP19" s="8" t="n">
        <f aca="false">SUM(F19:M19)</f>
        <v>0</v>
      </c>
      <c r="AQ19" s="8" t="n">
        <f aca="false">SUM(N19:Y19)</f>
        <v>33513212</v>
      </c>
      <c r="AR19" s="8" t="n">
        <f aca="false">SUM(Z19:AK19)</f>
        <v>47518668</v>
      </c>
      <c r="AS19" s="8" t="n">
        <f aca="false">SUM(AL19:AO19)</f>
        <v>29271903</v>
      </c>
    </row>
    <row r="20" customFormat="false" ht="15" hidden="false" customHeight="false" outlineLevel="0" collapsed="false">
      <c r="A20" s="30" t="s">
        <v>270</v>
      </c>
      <c r="B20" s="10"/>
      <c r="F20" s="8" t="n">
        <f aca="false">'재무상태표(BS)'!F25-0</f>
        <v>0</v>
      </c>
      <c r="G20" s="8" t="n">
        <f aca="false">'재무상태표(BS)'!G25-'재무상태표(BS)'!F25</f>
        <v>0</v>
      </c>
      <c r="H20" s="8" t="n">
        <f aca="false">'재무상태표(BS)'!H25-'재무상태표(BS)'!G25</f>
        <v>0</v>
      </c>
      <c r="I20" s="8" t="n">
        <f aca="false">'재무상태표(BS)'!I25-'재무상태표(BS)'!H25</f>
        <v>0</v>
      </c>
      <c r="J20" s="8" t="n">
        <f aca="false">'재무상태표(BS)'!J25-'재무상태표(BS)'!I25</f>
        <v>0</v>
      </c>
      <c r="K20" s="8" t="n">
        <f aca="false">'재무상태표(BS)'!K25-'재무상태표(BS)'!J25</f>
        <v>1320000</v>
      </c>
      <c r="L20" s="8" t="n">
        <f aca="false">'재무상태표(BS)'!L25-'재무상태표(BS)'!K25</f>
        <v>-1320000</v>
      </c>
      <c r="M20" s="8" t="n">
        <f aca="false">'재무상태표(BS)'!M25-'재무상태표(BS)'!L25</f>
        <v>0</v>
      </c>
      <c r="N20" s="8" t="n">
        <f aca="false">'재무상태표(BS)'!N25-'재무상태표(BS)'!M25</f>
        <v>0</v>
      </c>
      <c r="O20" s="8" t="n">
        <f aca="false">'재무상태표(BS)'!O25-'재무상태표(BS)'!N25</f>
        <v>0</v>
      </c>
      <c r="P20" s="8" t="n">
        <f aca="false">'재무상태표(BS)'!P25-'재무상태표(BS)'!O25</f>
        <v>2500000</v>
      </c>
      <c r="Q20" s="8" t="n">
        <f aca="false">'재무상태표(BS)'!Q25-'재무상태표(BS)'!P25</f>
        <v>-2500000</v>
      </c>
      <c r="R20" s="8" t="n">
        <f aca="false">'재무상태표(BS)'!R25-'재무상태표(BS)'!Q25</f>
        <v>0</v>
      </c>
      <c r="S20" s="8" t="n">
        <f aca="false">'재무상태표(BS)'!S25-'재무상태표(BS)'!R25</f>
        <v>0</v>
      </c>
      <c r="T20" s="8" t="n">
        <f aca="false">'재무상태표(BS)'!T25-'재무상태표(BS)'!S25</f>
        <v>0</v>
      </c>
      <c r="U20" s="8" t="n">
        <f aca="false">'재무상태표(BS)'!U25-'재무상태표(BS)'!T25</f>
        <v>0</v>
      </c>
      <c r="V20" s="8" t="n">
        <f aca="false">'재무상태표(BS)'!V25-'재무상태표(BS)'!U25</f>
        <v>3780000</v>
      </c>
      <c r="W20" s="8" t="n">
        <f aca="false">'재무상태표(BS)'!W25-'재무상태표(BS)'!V25</f>
        <v>-3780000</v>
      </c>
      <c r="X20" s="8" t="n">
        <f aca="false">'재무상태표(BS)'!X25-'재무상태표(BS)'!W25</f>
        <v>0</v>
      </c>
      <c r="Y20" s="8" t="n">
        <f aca="false">'재무상태표(BS)'!Y25-'재무상태표(BS)'!X25</f>
        <v>0</v>
      </c>
      <c r="Z20" s="8" t="n">
        <f aca="false">'재무상태표(BS)'!Z25-'재무상태표(BS)'!Y25</f>
        <v>0</v>
      </c>
      <c r="AA20" s="8" t="n">
        <f aca="false">'재무상태표(BS)'!AA25-'재무상태표(BS)'!Z25</f>
        <v>0</v>
      </c>
      <c r="AB20" s="8" t="n">
        <f aca="false">'재무상태표(BS)'!AB25-'재무상태표(BS)'!AA25</f>
        <v>5400000</v>
      </c>
      <c r="AC20" s="8" t="n">
        <f aca="false">'재무상태표(BS)'!AC25-'재무상태표(BS)'!AB25</f>
        <v>-5400000</v>
      </c>
      <c r="AD20" s="8" t="n">
        <f aca="false">'재무상태표(BS)'!AD25-'재무상태표(BS)'!AC25</f>
        <v>0</v>
      </c>
      <c r="AE20" s="8" t="n">
        <f aca="false">'재무상태표(BS)'!AE25-'재무상태표(BS)'!AD25</f>
        <v>0</v>
      </c>
      <c r="AF20" s="8" t="n">
        <f aca="false">'재무상태표(BS)'!AF25-'재무상태표(BS)'!AE25</f>
        <v>0</v>
      </c>
      <c r="AG20" s="8" t="n">
        <f aca="false">'재무상태표(BS)'!AG25-'재무상태표(BS)'!AF25</f>
        <v>0</v>
      </c>
      <c r="AH20" s="8" t="n">
        <f aca="false">'재무상태표(BS)'!AH25-'재무상태표(BS)'!AG25</f>
        <v>6600000</v>
      </c>
      <c r="AI20" s="8" t="n">
        <f aca="false">'재무상태표(BS)'!AI25-'재무상태표(BS)'!AH25</f>
        <v>-6600000</v>
      </c>
      <c r="AJ20" s="8" t="n">
        <f aca="false">'재무상태표(BS)'!AJ25-'재무상태표(BS)'!AI25</f>
        <v>0</v>
      </c>
      <c r="AK20" s="8" t="n">
        <f aca="false">'재무상태표(BS)'!AK25-'재무상태표(BS)'!AJ25</f>
        <v>0</v>
      </c>
      <c r="AL20" s="8" t="n">
        <f aca="false">'재무상태표(BS)'!AL25-'재무상태표(BS)'!AK25</f>
        <v>0</v>
      </c>
      <c r="AM20" s="8" t="n">
        <f aca="false">'재무상태표(BS)'!AM25-'재무상태표(BS)'!AL25</f>
        <v>0</v>
      </c>
      <c r="AN20" s="8" t="n">
        <f aca="false">'재무상태표(BS)'!AN25-'재무상태표(BS)'!AM25</f>
        <v>8320000</v>
      </c>
      <c r="AO20" s="8" t="n">
        <f aca="false">'재무상태표(BS)'!AO25-'재무상태표(BS)'!AN25</f>
        <v>-8320000</v>
      </c>
      <c r="AP20" s="8" t="n">
        <f aca="false">SUM(F20:M20)</f>
        <v>0</v>
      </c>
      <c r="AQ20" s="8" t="n">
        <f aca="false">SUM(N20:Y20)</f>
        <v>0</v>
      </c>
      <c r="AR20" s="8" t="n">
        <f aca="false">SUM(Z20:AK20)</f>
        <v>0</v>
      </c>
      <c r="AS20" s="8" t="n">
        <f aca="false">SUM(AL20:AO20)</f>
        <v>0</v>
      </c>
    </row>
    <row r="21" customFormat="false" ht="15" hidden="false" customHeight="false" outlineLevel="0" collapsed="false">
      <c r="A21" s="30" t="s">
        <v>271</v>
      </c>
      <c r="B21" s="10"/>
      <c r="F21" s="8" t="n">
        <f aca="false">'재무상태표(BS)'!F26-0</f>
        <v>0</v>
      </c>
      <c r="G21" s="8" t="n">
        <f aca="false">'재무상태표(BS)'!G26-'재무상태표(BS)'!F26</f>
        <v>0</v>
      </c>
      <c r="H21" s="8" t="n">
        <f aca="false">'재무상태표(BS)'!H26-'재무상태표(BS)'!G26</f>
        <v>0</v>
      </c>
      <c r="I21" s="8" t="n">
        <f aca="false">'재무상태표(BS)'!I26-'재무상태표(BS)'!H26</f>
        <v>0</v>
      </c>
      <c r="J21" s="8" t="n">
        <f aca="false">'재무상태표(BS)'!J26-'재무상태표(BS)'!I26</f>
        <v>0</v>
      </c>
      <c r="K21" s="8" t="n">
        <f aca="false">'재무상태표(BS)'!K26-'재무상태표(BS)'!J26</f>
        <v>0</v>
      </c>
      <c r="L21" s="8" t="n">
        <f aca="false">'재무상태표(BS)'!L26-'재무상태표(BS)'!K26</f>
        <v>0</v>
      </c>
      <c r="M21" s="8" t="n">
        <f aca="false">'재무상태표(BS)'!M26-'재무상태표(BS)'!L26</f>
        <v>2148183</v>
      </c>
      <c r="N21" s="8" t="n">
        <f aca="false">'재무상태표(BS)'!N26-'재무상태표(BS)'!M26</f>
        <v>-2148183</v>
      </c>
      <c r="O21" s="8" t="n">
        <f aca="false">'재무상태표(BS)'!O26-'재무상태표(BS)'!N26</f>
        <v>0</v>
      </c>
      <c r="P21" s="8" t="n">
        <f aca="false">'재무상태표(BS)'!P26-'재무상태표(BS)'!O26</f>
        <v>0</v>
      </c>
      <c r="Q21" s="8" t="n">
        <f aca="false">'재무상태표(BS)'!Q26-'재무상태표(BS)'!P26</f>
        <v>0</v>
      </c>
      <c r="R21" s="8" t="n">
        <f aca="false">'재무상태표(BS)'!R26-'재무상태표(BS)'!Q26</f>
        <v>0</v>
      </c>
      <c r="S21" s="8" t="n">
        <f aca="false">'재무상태표(BS)'!S26-'재무상태표(BS)'!R26</f>
        <v>0</v>
      </c>
      <c r="T21" s="8" t="n">
        <f aca="false">'재무상태표(BS)'!T26-'재무상태표(BS)'!S26</f>
        <v>0</v>
      </c>
      <c r="U21" s="8" t="n">
        <f aca="false">'재무상태표(BS)'!U26-'재무상태표(BS)'!T26</f>
        <v>0</v>
      </c>
      <c r="V21" s="8" t="n">
        <f aca="false">'재무상태표(BS)'!V26-'재무상태표(BS)'!U26</f>
        <v>0</v>
      </c>
      <c r="W21" s="8" t="n">
        <f aca="false">'재무상태표(BS)'!W26-'재무상태표(BS)'!V26</f>
        <v>0</v>
      </c>
      <c r="X21" s="8" t="n">
        <f aca="false">'재무상태표(BS)'!X26-'재무상태표(BS)'!W26</f>
        <v>0</v>
      </c>
      <c r="Y21" s="8" t="n">
        <f aca="false">'재무상태표(BS)'!Y26-'재무상태표(BS)'!X26</f>
        <v>0</v>
      </c>
      <c r="Z21" s="8" t="n">
        <f aca="false">'재무상태표(BS)'!Z26-'재무상태표(BS)'!Y26</f>
        <v>0</v>
      </c>
      <c r="AA21" s="8" t="n">
        <f aca="false">'재무상태표(BS)'!AA26-'재무상태표(BS)'!Z26</f>
        <v>0</v>
      </c>
      <c r="AB21" s="8" t="n">
        <f aca="false">'재무상태표(BS)'!AB26-'재무상태표(BS)'!AA26</f>
        <v>0</v>
      </c>
      <c r="AC21" s="8" t="n">
        <f aca="false">'재무상태표(BS)'!AC26-'재무상태표(BS)'!AB26</f>
        <v>0</v>
      </c>
      <c r="AD21" s="8" t="n">
        <f aca="false">'재무상태표(BS)'!AD26-'재무상태표(BS)'!AC26</f>
        <v>0</v>
      </c>
      <c r="AE21" s="8" t="n">
        <f aca="false">'재무상태표(BS)'!AE26-'재무상태표(BS)'!AD26</f>
        <v>0</v>
      </c>
      <c r="AF21" s="8" t="n">
        <f aca="false">'재무상태표(BS)'!AF26-'재무상태표(BS)'!AE26</f>
        <v>0</v>
      </c>
      <c r="AG21" s="8" t="n">
        <f aca="false">'재무상태표(BS)'!AG26-'재무상태표(BS)'!AF26</f>
        <v>0</v>
      </c>
      <c r="AH21" s="8" t="n">
        <f aca="false">'재무상태표(BS)'!AH26-'재무상태표(BS)'!AG26</f>
        <v>0</v>
      </c>
      <c r="AI21" s="8" t="n">
        <f aca="false">'재무상태표(BS)'!AI26-'재무상태표(BS)'!AH26</f>
        <v>0</v>
      </c>
      <c r="AJ21" s="8" t="n">
        <f aca="false">'재무상태표(BS)'!AJ26-'재무상태표(BS)'!AI26</f>
        <v>0</v>
      </c>
      <c r="AK21" s="8" t="n">
        <f aca="false">'재무상태표(BS)'!AK26-'재무상태표(BS)'!AJ26</f>
        <v>0</v>
      </c>
      <c r="AL21" s="8" t="n">
        <f aca="false">'재무상태표(BS)'!AL26-'재무상태표(BS)'!AK26</f>
        <v>0</v>
      </c>
      <c r="AM21" s="8" t="n">
        <f aca="false">'재무상태표(BS)'!AM26-'재무상태표(BS)'!AL26</f>
        <v>0</v>
      </c>
      <c r="AN21" s="8" t="n">
        <f aca="false">'재무상태표(BS)'!AN26-'재무상태표(BS)'!AM26</f>
        <v>0</v>
      </c>
      <c r="AO21" s="8" t="n">
        <f aca="false">'재무상태표(BS)'!AO26-'재무상태표(BS)'!AN26</f>
        <v>0</v>
      </c>
      <c r="AP21" s="8" t="n">
        <f aca="false">SUM(F21:M21)</f>
        <v>2148183</v>
      </c>
      <c r="AQ21" s="8" t="n">
        <f aca="false">SUM(N21:Y21)</f>
        <v>-2148183</v>
      </c>
      <c r="AR21" s="8" t="n">
        <f aca="false">SUM(Z21:AK21)</f>
        <v>0</v>
      </c>
      <c r="AS21" s="8" t="n">
        <f aca="false">SUM(AL21:AO21)</f>
        <v>0</v>
      </c>
    </row>
    <row r="22" customFormat="false" ht="15" hidden="false" customHeight="false" outlineLevel="0" collapsed="false">
      <c r="A22" s="33" t="s">
        <v>272</v>
      </c>
      <c r="B22" s="29"/>
      <c r="C22" s="19"/>
      <c r="D22" s="19"/>
      <c r="E22" s="19"/>
      <c r="F22" s="20" t="n">
        <f aca="false">SUM(F23:F25)</f>
        <v>0</v>
      </c>
      <c r="G22" s="20" t="n">
        <f aca="false">SUM(G23:G25)</f>
        <v>0</v>
      </c>
      <c r="H22" s="20" t="n">
        <f aca="false">SUM(H23:H25)</f>
        <v>0</v>
      </c>
      <c r="I22" s="20" t="n">
        <f aca="false">SUM(I23:I25)</f>
        <v>0</v>
      </c>
      <c r="J22" s="20" t="n">
        <f aca="false">SUM(J23:J25)</f>
        <v>0</v>
      </c>
      <c r="K22" s="20" t="n">
        <f aca="false">SUM(K23:K25)</f>
        <v>0</v>
      </c>
      <c r="L22" s="20" t="n">
        <f aca="false">SUM(L23:L25)</f>
        <v>0</v>
      </c>
      <c r="M22" s="20" t="n">
        <f aca="false">SUM(M23:M25)</f>
        <v>0</v>
      </c>
      <c r="N22" s="20" t="n">
        <f aca="false">SUM(N23:N25)</f>
        <v>-5000000</v>
      </c>
      <c r="O22" s="20" t="n">
        <f aca="false">SUM(O23:O25)</f>
        <v>-3000000</v>
      </c>
      <c r="P22" s="20" t="n">
        <f aca="false">SUM(P23:P25)</f>
        <v>0</v>
      </c>
      <c r="Q22" s="20" t="n">
        <f aca="false">SUM(Q23:Q25)</f>
        <v>-4400000</v>
      </c>
      <c r="R22" s="20" t="n">
        <f aca="false">SUM(R23:R25)</f>
        <v>0</v>
      </c>
      <c r="S22" s="20" t="n">
        <f aca="false">SUM(S23:S25)</f>
        <v>0</v>
      </c>
      <c r="T22" s="20" t="n">
        <f aca="false">SUM(T23:T25)</f>
        <v>-2200000</v>
      </c>
      <c r="U22" s="20" t="n">
        <f aca="false">SUM(U23:U25)</f>
        <v>0</v>
      </c>
      <c r="V22" s="20" t="n">
        <f aca="false">SUM(V23:V25)</f>
        <v>0</v>
      </c>
      <c r="W22" s="20" t="n">
        <f aca="false">SUM(W23:W25)</f>
        <v>0</v>
      </c>
      <c r="X22" s="20" t="n">
        <f aca="false">SUM(X23:X25)</f>
        <v>0</v>
      </c>
      <c r="Y22" s="20" t="n">
        <f aca="false">SUM(Y23:Y25)</f>
        <v>-39000000</v>
      </c>
      <c r="Z22" s="20" t="n">
        <f aca="false">SUM(Z23:Z25)</f>
        <v>0</v>
      </c>
      <c r="AA22" s="20" t="n">
        <f aca="false">SUM(AA23:AA25)</f>
        <v>0</v>
      </c>
      <c r="AB22" s="20" t="n">
        <f aca="false">SUM(AB23:AB25)</f>
        <v>-2200000</v>
      </c>
      <c r="AC22" s="20" t="n">
        <f aca="false">SUM(AC23:AC25)</f>
        <v>0</v>
      </c>
      <c r="AD22" s="20" t="n">
        <f aca="false">SUM(AD23:AD25)</f>
        <v>-4000000</v>
      </c>
      <c r="AE22" s="20" t="n">
        <f aca="false">SUM(AE23:AE25)</f>
        <v>0</v>
      </c>
      <c r="AF22" s="20" t="n">
        <f aca="false">SUM(AF23:AF25)</f>
        <v>0</v>
      </c>
      <c r="AG22" s="20" t="n">
        <f aca="false">SUM(AG23:AG25)</f>
        <v>0</v>
      </c>
      <c r="AH22" s="20" t="n">
        <f aca="false">SUM(AH23:AH25)</f>
        <v>-2400000</v>
      </c>
      <c r="AI22" s="20" t="n">
        <f aca="false">SUM(AI23:AI25)</f>
        <v>0</v>
      </c>
      <c r="AJ22" s="20" t="n">
        <f aca="false">SUM(AJ23:AJ25)</f>
        <v>0</v>
      </c>
      <c r="AK22" s="20" t="n">
        <f aca="false">SUM(AK23:AK25)</f>
        <v>0</v>
      </c>
      <c r="AL22" s="20" t="n">
        <f aca="false">SUM(AL23:AL25)</f>
        <v>0</v>
      </c>
      <c r="AM22" s="20" t="n">
        <f aca="false">SUM(AM23:AM25)</f>
        <v>0</v>
      </c>
      <c r="AN22" s="20" t="n">
        <f aca="false">SUM(AN23:AN25)</f>
        <v>0</v>
      </c>
      <c r="AO22" s="20" t="n">
        <f aca="false">SUM(AO23:AO25)</f>
        <v>0</v>
      </c>
      <c r="AP22" s="20" t="n">
        <f aca="false">SUM(F22:M22)</f>
        <v>0</v>
      </c>
      <c r="AQ22" s="20" t="n">
        <f aca="false">SUM(N22:Y22)</f>
        <v>-53600000</v>
      </c>
      <c r="AR22" s="20" t="n">
        <f aca="false">SUM(Z22:AK22)</f>
        <v>-8600000</v>
      </c>
      <c r="AS22" s="20" t="n">
        <f aca="false">SUM(AL22:AO22)</f>
        <v>0</v>
      </c>
    </row>
    <row r="23" customFormat="false" ht="15" hidden="false" customHeight="false" outlineLevel="0" collapsed="false">
      <c r="A23" s="2" t="s">
        <v>273</v>
      </c>
      <c r="B23" s="10" t="s">
        <v>274</v>
      </c>
      <c r="F23" s="7" t="n">
        <v>0</v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  <c r="N23" s="7" t="n">
        <v>-5000000</v>
      </c>
      <c r="O23" s="7" t="n">
        <v>0</v>
      </c>
      <c r="P23" s="7" t="n">
        <v>0</v>
      </c>
      <c r="Q23" s="7" t="n">
        <v>-4400000</v>
      </c>
      <c r="R23" s="7" t="n">
        <v>0</v>
      </c>
      <c r="S23" s="7" t="n">
        <v>0</v>
      </c>
      <c r="T23" s="7" t="n">
        <v>-2200000</v>
      </c>
      <c r="U23" s="7" t="n">
        <v>0</v>
      </c>
      <c r="V23" s="7" t="n">
        <v>0</v>
      </c>
      <c r="W23" s="7" t="n">
        <v>0</v>
      </c>
      <c r="X23" s="7" t="n">
        <v>0</v>
      </c>
      <c r="Y23" s="7" t="n">
        <v>-9000000</v>
      </c>
      <c r="Z23" s="7" t="n">
        <v>0</v>
      </c>
      <c r="AA23" s="7" t="n">
        <v>0</v>
      </c>
      <c r="AB23" s="7" t="n">
        <v>-2200000</v>
      </c>
      <c r="AC23" s="7" t="n">
        <v>0</v>
      </c>
      <c r="AD23" s="7" t="n">
        <v>0</v>
      </c>
      <c r="AE23" s="7" t="n">
        <v>0</v>
      </c>
      <c r="AF23" s="7" t="n">
        <v>0</v>
      </c>
      <c r="AG23" s="7" t="n">
        <v>0</v>
      </c>
      <c r="AH23" s="7" t="n">
        <v>-2400000</v>
      </c>
      <c r="AI23" s="7" t="n">
        <v>0</v>
      </c>
      <c r="AJ23" s="7" t="n">
        <v>0</v>
      </c>
      <c r="AK23" s="7" t="n">
        <v>0</v>
      </c>
      <c r="AL23" s="7" t="n">
        <v>0</v>
      </c>
      <c r="AM23" s="7" t="n">
        <v>0</v>
      </c>
      <c r="AN23" s="7" t="n">
        <v>0</v>
      </c>
      <c r="AO23" s="7" t="n">
        <v>0</v>
      </c>
      <c r="AP23" s="9" t="n">
        <f aca="false">SUM(F23:M23)</f>
        <v>0</v>
      </c>
      <c r="AQ23" s="9" t="n">
        <f aca="false">SUM(N23:Y23)</f>
        <v>-20600000</v>
      </c>
      <c r="AR23" s="9" t="n">
        <f aca="false">SUM(Z23:AK23)</f>
        <v>-4600000</v>
      </c>
      <c r="AS23" s="9" t="n">
        <f aca="false">SUM(AL23:AO23)</f>
        <v>0</v>
      </c>
      <c r="AT23" s="2"/>
    </row>
    <row r="24" customFormat="false" ht="15" hidden="false" customHeight="false" outlineLevel="0" collapsed="false">
      <c r="A24" s="2" t="s">
        <v>275</v>
      </c>
      <c r="B24" s="10" t="s">
        <v>276</v>
      </c>
      <c r="F24" s="7" t="n">
        <v>0</v>
      </c>
      <c r="G24" s="7" t="n">
        <v>0</v>
      </c>
      <c r="H24" s="7" t="n">
        <v>0</v>
      </c>
      <c r="I24" s="7" t="n">
        <v>0</v>
      </c>
      <c r="J24" s="7" t="n">
        <v>0</v>
      </c>
      <c r="K24" s="7" t="n">
        <v>0</v>
      </c>
      <c r="L24" s="7" t="n">
        <v>0</v>
      </c>
      <c r="M24" s="7" t="n">
        <v>0</v>
      </c>
      <c r="N24" s="7" t="n">
        <v>0</v>
      </c>
      <c r="O24" s="7" t="n">
        <v>-3000000</v>
      </c>
      <c r="P24" s="7" t="n">
        <v>0</v>
      </c>
      <c r="Q24" s="7" t="n">
        <v>0</v>
      </c>
      <c r="R24" s="7" t="n">
        <v>0</v>
      </c>
      <c r="S24" s="7" t="n">
        <v>0</v>
      </c>
      <c r="T24" s="7" t="n">
        <v>0</v>
      </c>
      <c r="U24" s="7" t="n">
        <v>0</v>
      </c>
      <c r="V24" s="7" t="n">
        <v>0</v>
      </c>
      <c r="W24" s="7" t="n">
        <v>0</v>
      </c>
      <c r="X24" s="7" t="n">
        <v>0</v>
      </c>
      <c r="Y24" s="7" t="n">
        <v>0</v>
      </c>
      <c r="Z24" s="7" t="n">
        <v>0</v>
      </c>
      <c r="AA24" s="7" t="n">
        <v>0</v>
      </c>
      <c r="AB24" s="7" t="n">
        <v>0</v>
      </c>
      <c r="AC24" s="7" t="n">
        <v>0</v>
      </c>
      <c r="AD24" s="7" t="n">
        <v>-4000000</v>
      </c>
      <c r="AE24" s="7" t="n">
        <v>0</v>
      </c>
      <c r="AF24" s="7" t="n">
        <v>0</v>
      </c>
      <c r="AG24" s="7" t="n">
        <v>0</v>
      </c>
      <c r="AH24" s="7" t="n">
        <v>0</v>
      </c>
      <c r="AI24" s="7" t="n">
        <v>0</v>
      </c>
      <c r="AJ24" s="7" t="n">
        <v>0</v>
      </c>
      <c r="AK24" s="7" t="n">
        <v>0</v>
      </c>
      <c r="AL24" s="7" t="n">
        <v>0</v>
      </c>
      <c r="AM24" s="7" t="n">
        <v>0</v>
      </c>
      <c r="AN24" s="7" t="n">
        <v>0</v>
      </c>
      <c r="AO24" s="7" t="n">
        <v>0</v>
      </c>
      <c r="AP24" s="9" t="n">
        <f aca="false">SUM(F24:M24)</f>
        <v>0</v>
      </c>
      <c r="AQ24" s="9" t="n">
        <f aca="false">SUM(N24:Y24)</f>
        <v>-3000000</v>
      </c>
      <c r="AR24" s="9" t="n">
        <f aca="false">SUM(Z24:AK24)</f>
        <v>-4000000</v>
      </c>
      <c r="AS24" s="9" t="n">
        <f aca="false">SUM(AL24:AO24)</f>
        <v>0</v>
      </c>
      <c r="AT24" s="2"/>
    </row>
    <row r="25" customFormat="false" ht="15" hidden="false" customHeight="false" outlineLevel="0" collapsed="false">
      <c r="A25" s="2" t="s">
        <v>277</v>
      </c>
      <c r="B25" s="24" t="s">
        <v>278</v>
      </c>
      <c r="F25" s="7" t="n">
        <v>0</v>
      </c>
      <c r="G25" s="7" t="n">
        <v>0</v>
      </c>
      <c r="H25" s="7" t="n">
        <v>0</v>
      </c>
      <c r="I25" s="7" t="n">
        <v>0</v>
      </c>
      <c r="J25" s="7" t="n">
        <v>0</v>
      </c>
      <c r="K25" s="7" t="n">
        <v>0</v>
      </c>
      <c r="L25" s="7" t="n">
        <v>0</v>
      </c>
      <c r="M25" s="7" t="n">
        <v>0</v>
      </c>
      <c r="N25" s="7" t="n">
        <v>0</v>
      </c>
      <c r="O25" s="7" t="n">
        <v>0</v>
      </c>
      <c r="P25" s="7" t="n">
        <v>0</v>
      </c>
      <c r="Q25" s="7" t="n">
        <v>0</v>
      </c>
      <c r="R25" s="7" t="n">
        <v>0</v>
      </c>
      <c r="S25" s="7" t="n">
        <v>0</v>
      </c>
      <c r="T25" s="7" t="n">
        <v>0</v>
      </c>
      <c r="U25" s="7" t="n">
        <v>0</v>
      </c>
      <c r="V25" s="7" t="n">
        <v>0</v>
      </c>
      <c r="W25" s="7" t="n">
        <v>0</v>
      </c>
      <c r="X25" s="7" t="n">
        <v>0</v>
      </c>
      <c r="Y25" s="7" t="n">
        <v>-30000000</v>
      </c>
      <c r="Z25" s="7" t="n">
        <v>0</v>
      </c>
      <c r="AA25" s="7" t="n">
        <v>0</v>
      </c>
      <c r="AB25" s="7" t="n">
        <v>0</v>
      </c>
      <c r="AC25" s="7" t="n">
        <v>0</v>
      </c>
      <c r="AD25" s="7" t="n">
        <v>0</v>
      </c>
      <c r="AE25" s="7" t="n">
        <v>0</v>
      </c>
      <c r="AF25" s="7" t="n">
        <v>0</v>
      </c>
      <c r="AG25" s="7" t="n">
        <v>0</v>
      </c>
      <c r="AH25" s="7" t="n">
        <v>0</v>
      </c>
      <c r="AI25" s="7" t="n">
        <v>0</v>
      </c>
      <c r="AJ25" s="7" t="n">
        <v>0</v>
      </c>
      <c r="AK25" s="7" t="n">
        <v>0</v>
      </c>
      <c r="AL25" s="7" t="n">
        <v>0</v>
      </c>
      <c r="AM25" s="7" t="n">
        <v>0</v>
      </c>
      <c r="AN25" s="7" t="n">
        <v>0</v>
      </c>
      <c r="AO25" s="7" t="n">
        <v>0</v>
      </c>
      <c r="AP25" s="9" t="n">
        <f aca="false">SUM(F25:M25)</f>
        <v>0</v>
      </c>
      <c r="AQ25" s="9" t="n">
        <f aca="false">SUM(N25:Y25)</f>
        <v>-30000000</v>
      </c>
      <c r="AR25" s="9" t="n">
        <f aca="false">SUM(Z25:AK25)</f>
        <v>0</v>
      </c>
      <c r="AS25" s="9" t="n">
        <f aca="false">SUM(AL25:AO25)</f>
        <v>0</v>
      </c>
      <c r="AT25" s="2"/>
    </row>
    <row r="26" customFormat="false" ht="15" hidden="false" customHeight="false" outlineLevel="0" collapsed="false">
      <c r="A26" s="33" t="s">
        <v>279</v>
      </c>
      <c r="B26" s="29"/>
      <c r="C26" s="19"/>
      <c r="D26" s="19"/>
      <c r="E26" s="19"/>
      <c r="F26" s="20" t="n">
        <f aca="false">SUM(F27:F30)</f>
        <v>10000000</v>
      </c>
      <c r="G26" s="20" t="n">
        <f aca="false">SUM(G27:G30)</f>
        <v>0</v>
      </c>
      <c r="H26" s="20" t="n">
        <f aca="false">SUM(H27:H30)</f>
        <v>0</v>
      </c>
      <c r="I26" s="20" t="n">
        <f aca="false">SUM(I27:I30)</f>
        <v>0</v>
      </c>
      <c r="J26" s="20" t="n">
        <f aca="false">SUM(J27:J30)</f>
        <v>0</v>
      </c>
      <c r="K26" s="20" t="n">
        <f aca="false">SUM(K27:K30)</f>
        <v>0</v>
      </c>
      <c r="L26" s="20" t="n">
        <f aca="false">SUM(L27:L30)</f>
        <v>200000000</v>
      </c>
      <c r="M26" s="20" t="n">
        <f aca="false">SUM(M27:M30)</f>
        <v>0</v>
      </c>
      <c r="N26" s="20" t="n">
        <f aca="false">SUM(N27:N30)</f>
        <v>0</v>
      </c>
      <c r="O26" s="20" t="n">
        <f aca="false">SUM(O27:O30)</f>
        <v>0</v>
      </c>
      <c r="P26" s="20" t="n">
        <f aca="false">SUM(P27:P30)</f>
        <v>0</v>
      </c>
      <c r="Q26" s="20" t="n">
        <f aca="false">SUM(Q27:Q30)</f>
        <v>500000000</v>
      </c>
      <c r="R26" s="20" t="n">
        <f aca="false">SUM(R27:R30)</f>
        <v>0</v>
      </c>
      <c r="S26" s="20" t="n">
        <f aca="false">SUM(S27:S30)</f>
        <v>0</v>
      </c>
      <c r="T26" s="20" t="n">
        <f aca="false">SUM(T27:T30)</f>
        <v>0</v>
      </c>
      <c r="U26" s="20" t="n">
        <f aca="false">SUM(U27:U30)</f>
        <v>0</v>
      </c>
      <c r="V26" s="20" t="n">
        <f aca="false">SUM(V27:V30)</f>
        <v>0</v>
      </c>
      <c r="W26" s="20" t="n">
        <f aca="false">SUM(W27:W30)</f>
        <v>0</v>
      </c>
      <c r="X26" s="20" t="n">
        <f aca="false">SUM(X27:X30)</f>
        <v>0</v>
      </c>
      <c r="Y26" s="20" t="n">
        <f aca="false">SUM(Y27:Y30)</f>
        <v>0</v>
      </c>
      <c r="Z26" s="20" t="n">
        <f aca="false">SUM(Z27:Z30)</f>
        <v>0</v>
      </c>
      <c r="AA26" s="20" t="n">
        <f aca="false">SUM(AA27:AA30)</f>
        <v>0</v>
      </c>
      <c r="AB26" s="20" t="n">
        <f aca="false">SUM(AB27:AB30)</f>
        <v>0</v>
      </c>
      <c r="AC26" s="20" t="n">
        <f aca="false">SUM(AC27:AC30)</f>
        <v>0</v>
      </c>
      <c r="AD26" s="20" t="n">
        <f aca="false">SUM(AD27:AD30)</f>
        <v>0</v>
      </c>
      <c r="AE26" s="20" t="n">
        <f aca="false">SUM(AE27:AE30)</f>
        <v>0</v>
      </c>
      <c r="AF26" s="20" t="n">
        <f aca="false">SUM(AF27:AF30)</f>
        <v>0</v>
      </c>
      <c r="AG26" s="20" t="n">
        <f aca="false">SUM(AG27:AG30)</f>
        <v>0</v>
      </c>
      <c r="AH26" s="20" t="n">
        <f aca="false">SUM(AH27:AH30)</f>
        <v>0</v>
      </c>
      <c r="AI26" s="20" t="n">
        <f aca="false">SUM(AI27:AI30)</f>
        <v>0</v>
      </c>
      <c r="AJ26" s="20" t="n">
        <f aca="false">SUM(AJ27:AJ30)</f>
        <v>-5555556</v>
      </c>
      <c r="AK26" s="20" t="n">
        <f aca="false">SUM(AK27:AK30)</f>
        <v>-5555556</v>
      </c>
      <c r="AL26" s="20" t="n">
        <f aca="false">SUM(AL27:AL30)</f>
        <v>-5555556</v>
      </c>
      <c r="AM26" s="20" t="n">
        <f aca="false">SUM(AM27:AM30)</f>
        <v>-5555556</v>
      </c>
      <c r="AN26" s="20" t="n">
        <f aca="false">SUM(AN27:AN30)</f>
        <v>-5555556</v>
      </c>
      <c r="AO26" s="20" t="n">
        <f aca="false">SUM(AO27:AO30)</f>
        <v>-5555556</v>
      </c>
      <c r="AP26" s="20" t="n">
        <f aca="false">SUM(F26:M26)</f>
        <v>210000000</v>
      </c>
      <c r="AQ26" s="20" t="n">
        <f aca="false">SUM(N26:Y26)</f>
        <v>500000000</v>
      </c>
      <c r="AR26" s="20" t="n">
        <f aca="false">SUM(Z26:AK26)</f>
        <v>-11111112</v>
      </c>
      <c r="AS26" s="20" t="n">
        <f aca="false">SUM(AL26:AO26)</f>
        <v>-22222224</v>
      </c>
    </row>
    <row r="27" customFormat="false" ht="15" hidden="false" customHeight="false" outlineLevel="0" collapsed="false">
      <c r="A27" s="2" t="s">
        <v>280</v>
      </c>
      <c r="B27" s="24" t="s">
        <v>281</v>
      </c>
      <c r="F27" s="7" t="n">
        <v>0</v>
      </c>
      <c r="G27" s="7" t="n">
        <v>0</v>
      </c>
      <c r="H27" s="7" t="n">
        <v>0</v>
      </c>
      <c r="I27" s="7" t="n">
        <v>0</v>
      </c>
      <c r="J27" s="7" t="n">
        <v>0</v>
      </c>
      <c r="K27" s="7" t="n">
        <v>0</v>
      </c>
      <c r="L27" s="7" t="n">
        <v>200000000</v>
      </c>
      <c r="M27" s="7" t="n">
        <v>0</v>
      </c>
      <c r="N27" s="7" t="n">
        <v>0</v>
      </c>
      <c r="O27" s="7" t="n">
        <v>0</v>
      </c>
      <c r="P27" s="7" t="n">
        <v>0</v>
      </c>
      <c r="Q27" s="7" t="n">
        <v>0</v>
      </c>
      <c r="R27" s="7" t="n">
        <v>0</v>
      </c>
      <c r="S27" s="7" t="n">
        <v>0</v>
      </c>
      <c r="T27" s="7" t="n">
        <v>0</v>
      </c>
      <c r="U27" s="7" t="n">
        <v>0</v>
      </c>
      <c r="V27" s="7" t="n">
        <v>0</v>
      </c>
      <c r="W27" s="7" t="n">
        <v>0</v>
      </c>
      <c r="X27" s="7" t="n">
        <v>0</v>
      </c>
      <c r="Y27" s="7" t="n">
        <v>0</v>
      </c>
      <c r="Z27" s="7" t="n">
        <v>0</v>
      </c>
      <c r="AA27" s="7" t="n">
        <v>0</v>
      </c>
      <c r="AB27" s="7" t="n">
        <v>0</v>
      </c>
      <c r="AC27" s="7" t="n">
        <v>0</v>
      </c>
      <c r="AD27" s="7" t="n">
        <v>0</v>
      </c>
      <c r="AE27" s="7" t="n">
        <v>0</v>
      </c>
      <c r="AF27" s="7" t="n">
        <v>0</v>
      </c>
      <c r="AG27" s="7" t="n">
        <v>0</v>
      </c>
      <c r="AH27" s="7" t="n">
        <v>0</v>
      </c>
      <c r="AI27" s="7" t="n">
        <v>0</v>
      </c>
      <c r="AJ27" s="7" t="n">
        <v>0</v>
      </c>
      <c r="AK27" s="7" t="n">
        <v>0</v>
      </c>
      <c r="AL27" s="7" t="n">
        <v>0</v>
      </c>
      <c r="AM27" s="7" t="n">
        <v>0</v>
      </c>
      <c r="AN27" s="7" t="n">
        <v>0</v>
      </c>
      <c r="AO27" s="7" t="n">
        <v>0</v>
      </c>
      <c r="AP27" s="9" t="n">
        <f aca="false">SUM(F27:M27)</f>
        <v>200000000</v>
      </c>
      <c r="AQ27" s="9" t="n">
        <f aca="false">SUM(N27:Y27)</f>
        <v>0</v>
      </c>
      <c r="AR27" s="9" t="n">
        <f aca="false">SUM(Z27:AK27)</f>
        <v>0</v>
      </c>
      <c r="AS27" s="9" t="n">
        <f aca="false">SUM(AL27:AO27)</f>
        <v>0</v>
      </c>
      <c r="AT27" s="2"/>
    </row>
    <row r="28" customFormat="false" ht="15" hidden="false" customHeight="false" outlineLevel="0" collapsed="false">
      <c r="A28" s="2" t="s">
        <v>282</v>
      </c>
      <c r="B28" s="24" t="s">
        <v>283</v>
      </c>
      <c r="F28" s="7" t="n">
        <v>0</v>
      </c>
      <c r="G28" s="7" t="n">
        <v>0</v>
      </c>
      <c r="H28" s="7" t="n">
        <v>0</v>
      </c>
      <c r="I28" s="7" t="n">
        <v>0</v>
      </c>
      <c r="J28" s="7" t="n">
        <v>0</v>
      </c>
      <c r="K28" s="7" t="n">
        <v>0</v>
      </c>
      <c r="L28" s="7" t="n">
        <v>0</v>
      </c>
      <c r="M28" s="7" t="n">
        <v>0</v>
      </c>
      <c r="N28" s="7" t="n">
        <v>0</v>
      </c>
      <c r="O28" s="7" t="n">
        <v>0</v>
      </c>
      <c r="P28" s="7" t="n">
        <v>0</v>
      </c>
      <c r="Q28" s="7" t="n">
        <v>0</v>
      </c>
      <c r="R28" s="7" t="n">
        <v>0</v>
      </c>
      <c r="S28" s="7" t="n">
        <v>0</v>
      </c>
      <c r="T28" s="7" t="n">
        <v>0</v>
      </c>
      <c r="U28" s="7" t="n">
        <v>0</v>
      </c>
      <c r="V28" s="7" t="n">
        <v>0</v>
      </c>
      <c r="W28" s="7" t="n">
        <v>0</v>
      </c>
      <c r="X28" s="7" t="n">
        <v>0</v>
      </c>
      <c r="Y28" s="7" t="n">
        <v>0</v>
      </c>
      <c r="Z28" s="7" t="n">
        <v>0</v>
      </c>
      <c r="AA28" s="7" t="n">
        <v>0</v>
      </c>
      <c r="AB28" s="7" t="n">
        <v>0</v>
      </c>
      <c r="AC28" s="7" t="n">
        <v>0</v>
      </c>
      <c r="AD28" s="7" t="n">
        <v>0</v>
      </c>
      <c r="AE28" s="7" t="n">
        <v>0</v>
      </c>
      <c r="AF28" s="7" t="n">
        <v>0</v>
      </c>
      <c r="AG28" s="7" t="n">
        <v>0</v>
      </c>
      <c r="AH28" s="7" t="n">
        <v>0</v>
      </c>
      <c r="AI28" s="7" t="n">
        <v>0</v>
      </c>
      <c r="AJ28" s="7" t="n">
        <v>-5555556</v>
      </c>
      <c r="AK28" s="7" t="n">
        <v>-5555556</v>
      </c>
      <c r="AL28" s="7" t="n">
        <v>-5555556</v>
      </c>
      <c r="AM28" s="7" t="n">
        <v>-5555556</v>
      </c>
      <c r="AN28" s="7" t="n">
        <v>-5555556</v>
      </c>
      <c r="AO28" s="7" t="n">
        <v>-5555556</v>
      </c>
      <c r="AP28" s="9" t="n">
        <f aca="false">SUM(F28:M28)</f>
        <v>0</v>
      </c>
      <c r="AQ28" s="9" t="n">
        <f aca="false">SUM(N28:Y28)</f>
        <v>0</v>
      </c>
      <c r="AR28" s="9" t="n">
        <f aca="false">SUM(Z28:AK28)</f>
        <v>-11111112</v>
      </c>
      <c r="AS28" s="9" t="n">
        <f aca="false">SUM(AL28:AO28)</f>
        <v>-22222224</v>
      </c>
      <c r="AT28" s="2"/>
    </row>
    <row r="29" customFormat="false" ht="15" hidden="false" customHeight="false" outlineLevel="0" collapsed="false">
      <c r="A29" s="2" t="s">
        <v>284</v>
      </c>
      <c r="B29" s="24" t="s">
        <v>285</v>
      </c>
      <c r="F29" s="7" t="n">
        <v>10000000</v>
      </c>
      <c r="G29" s="7" t="n">
        <v>0</v>
      </c>
      <c r="H29" s="7" t="n">
        <v>0</v>
      </c>
      <c r="I29" s="7" t="n">
        <v>0</v>
      </c>
      <c r="J29" s="7" t="n">
        <v>0</v>
      </c>
      <c r="K29" s="7" t="n">
        <v>0</v>
      </c>
      <c r="L29" s="7" t="n">
        <v>0</v>
      </c>
      <c r="M29" s="7" t="n">
        <v>0</v>
      </c>
      <c r="N29" s="7" t="n">
        <v>0</v>
      </c>
      <c r="O29" s="7" t="n">
        <v>0</v>
      </c>
      <c r="P29" s="7" t="n">
        <v>0</v>
      </c>
      <c r="Q29" s="7" t="n">
        <v>1250000</v>
      </c>
      <c r="R29" s="7" t="n">
        <v>0</v>
      </c>
      <c r="S29" s="7" t="n">
        <v>0</v>
      </c>
      <c r="T29" s="7" t="n">
        <v>0</v>
      </c>
      <c r="U29" s="7" t="n">
        <v>0</v>
      </c>
      <c r="V29" s="7" t="n">
        <v>0</v>
      </c>
      <c r="W29" s="7" t="n">
        <v>0</v>
      </c>
      <c r="X29" s="7" t="n">
        <v>0</v>
      </c>
      <c r="Y29" s="7" t="n">
        <v>0</v>
      </c>
      <c r="Z29" s="7" t="n">
        <v>0</v>
      </c>
      <c r="AA29" s="7" t="n">
        <v>0</v>
      </c>
      <c r="AB29" s="7" t="n">
        <v>0</v>
      </c>
      <c r="AC29" s="7" t="n">
        <v>0</v>
      </c>
      <c r="AD29" s="7" t="n">
        <v>0</v>
      </c>
      <c r="AE29" s="7" t="n">
        <v>0</v>
      </c>
      <c r="AF29" s="7" t="n">
        <v>0</v>
      </c>
      <c r="AG29" s="7" t="n">
        <v>0</v>
      </c>
      <c r="AH29" s="7" t="n">
        <v>0</v>
      </c>
      <c r="AI29" s="7" t="n">
        <v>0</v>
      </c>
      <c r="AJ29" s="7" t="n">
        <v>0</v>
      </c>
      <c r="AK29" s="7" t="n">
        <v>0</v>
      </c>
      <c r="AL29" s="7" t="n">
        <v>0</v>
      </c>
      <c r="AM29" s="7" t="n">
        <v>0</v>
      </c>
      <c r="AN29" s="7" t="n">
        <v>0</v>
      </c>
      <c r="AO29" s="7" t="n">
        <v>0</v>
      </c>
      <c r="AP29" s="9" t="n">
        <f aca="false">SUM(F29:M29)</f>
        <v>10000000</v>
      </c>
      <c r="AQ29" s="9" t="n">
        <f aca="false">SUM(N29:Y29)</f>
        <v>1250000</v>
      </c>
      <c r="AR29" s="9" t="n">
        <f aca="false">SUM(Z29:AK29)</f>
        <v>0</v>
      </c>
      <c r="AS29" s="9" t="n">
        <f aca="false">SUM(AL29:AO29)</f>
        <v>0</v>
      </c>
      <c r="AT29" s="2"/>
    </row>
    <row r="30" customFormat="false" ht="15" hidden="false" customHeight="false" outlineLevel="0" collapsed="false">
      <c r="A30" s="2" t="s">
        <v>286</v>
      </c>
      <c r="F30" s="7" t="n">
        <v>0</v>
      </c>
      <c r="G30" s="7" t="n">
        <v>0</v>
      </c>
      <c r="H30" s="7" t="n">
        <v>0</v>
      </c>
      <c r="I30" s="7" t="n">
        <v>0</v>
      </c>
      <c r="J30" s="7" t="n">
        <v>0</v>
      </c>
      <c r="K30" s="7" t="n">
        <v>0</v>
      </c>
      <c r="L30" s="7" t="n">
        <v>0</v>
      </c>
      <c r="M30" s="7" t="n">
        <v>0</v>
      </c>
      <c r="N30" s="7" t="n">
        <v>0</v>
      </c>
      <c r="O30" s="7" t="n">
        <v>0</v>
      </c>
      <c r="P30" s="7" t="n">
        <v>0</v>
      </c>
      <c r="Q30" s="7" t="n">
        <v>498750000</v>
      </c>
      <c r="R30" s="7" t="n">
        <v>0</v>
      </c>
      <c r="S30" s="7" t="n">
        <v>0</v>
      </c>
      <c r="T30" s="7" t="n">
        <v>0</v>
      </c>
      <c r="U30" s="7" t="n">
        <v>0</v>
      </c>
      <c r="V30" s="7" t="n">
        <v>0</v>
      </c>
      <c r="W30" s="7" t="n">
        <v>0</v>
      </c>
      <c r="X30" s="7" t="n">
        <v>0</v>
      </c>
      <c r="Y30" s="7" t="n">
        <v>0</v>
      </c>
      <c r="Z30" s="7" t="n">
        <v>0</v>
      </c>
      <c r="AA30" s="7" t="n">
        <v>0</v>
      </c>
      <c r="AB30" s="7" t="n">
        <v>0</v>
      </c>
      <c r="AC30" s="7" t="n">
        <v>0</v>
      </c>
      <c r="AD30" s="7" t="n">
        <v>0</v>
      </c>
      <c r="AE30" s="7" t="n">
        <v>0</v>
      </c>
      <c r="AF30" s="7" t="n">
        <v>0</v>
      </c>
      <c r="AG30" s="7" t="n">
        <v>0</v>
      </c>
      <c r="AH30" s="7" t="n">
        <v>0</v>
      </c>
      <c r="AI30" s="7" t="n">
        <v>0</v>
      </c>
      <c r="AJ30" s="7" t="n">
        <v>0</v>
      </c>
      <c r="AK30" s="7" t="n">
        <v>0</v>
      </c>
      <c r="AL30" s="7" t="n">
        <v>0</v>
      </c>
      <c r="AM30" s="7" t="n">
        <v>0</v>
      </c>
      <c r="AN30" s="7" t="n">
        <v>0</v>
      </c>
      <c r="AO30" s="7" t="n">
        <v>0</v>
      </c>
      <c r="AP30" s="9" t="n">
        <f aca="false">SUM(F30:M30)</f>
        <v>0</v>
      </c>
      <c r="AQ30" s="9" t="n">
        <f aca="false">SUM(N30:Y30)</f>
        <v>498750000</v>
      </c>
      <c r="AR30" s="9" t="n">
        <f aca="false">SUM(Z30:AK30)</f>
        <v>0</v>
      </c>
      <c r="AS30" s="9" t="n">
        <f aca="false">SUM(AL30:AO30)</f>
        <v>0</v>
      </c>
      <c r="AT30" s="2"/>
    </row>
    <row r="31" customFormat="false" ht="15" hidden="false" customHeight="false" outlineLevel="0" collapsed="false">
      <c r="A31" s="4" t="s">
        <v>287</v>
      </c>
      <c r="B31" s="10"/>
      <c r="F31" s="32" t="n">
        <f aca="false">F5+F22+F26</f>
        <v>5406951</v>
      </c>
      <c r="G31" s="32" t="n">
        <f aca="false">G5+G22+G26</f>
        <v>-1994480</v>
      </c>
      <c r="H31" s="32" t="n">
        <f aca="false">H5+H22+H26</f>
        <v>-1504280</v>
      </c>
      <c r="I31" s="32" t="n">
        <f aca="false">I5+I22+I26</f>
        <v>-151108</v>
      </c>
      <c r="J31" s="32" t="n">
        <f aca="false">J5+J22+J26</f>
        <v>-1118471</v>
      </c>
      <c r="K31" s="32" t="n">
        <f aca="false">K5+K22+K26</f>
        <v>-151414</v>
      </c>
      <c r="L31" s="32" t="n">
        <f aca="false">L5+L22+L26</f>
        <v>197365533</v>
      </c>
      <c r="M31" s="32" t="n">
        <f aca="false">M5+M22+M26</f>
        <v>937811</v>
      </c>
      <c r="N31" s="32" t="n">
        <f aca="false">N5+N22+N26</f>
        <v>-24542529</v>
      </c>
      <c r="O31" s="32" t="n">
        <f aca="false">O5+O22+O26</f>
        <v>-15568305</v>
      </c>
      <c r="P31" s="32" t="n">
        <f aca="false">P5+P22+P26</f>
        <v>-6723648</v>
      </c>
      <c r="Q31" s="32" t="n">
        <f aca="false">Q5+Q22+Q26</f>
        <v>473336706</v>
      </c>
      <c r="R31" s="32" t="n">
        <f aca="false">R5+R22+R26</f>
        <v>4706786</v>
      </c>
      <c r="S31" s="32" t="n">
        <f aca="false">S5+S22+S26</f>
        <v>-11627272</v>
      </c>
      <c r="T31" s="32" t="n">
        <f aca="false">T5+T22+T26</f>
        <v>-16342555</v>
      </c>
      <c r="U31" s="32" t="n">
        <f aca="false">U5+U22+U26</f>
        <v>-8355848</v>
      </c>
      <c r="V31" s="32" t="n">
        <f aca="false">V5+V22+V26</f>
        <v>-2822626</v>
      </c>
      <c r="W31" s="32" t="n">
        <f aca="false">W5+W22+W26</f>
        <v>-8573736</v>
      </c>
      <c r="X31" s="32" t="n">
        <f aca="false">X5+X22+X26</f>
        <v>21346909</v>
      </c>
      <c r="Y31" s="32" t="n">
        <f aca="false">Y5+Y22+Y26</f>
        <v>-43630590</v>
      </c>
      <c r="Z31" s="32" t="n">
        <f aca="false">Z5+Z22+Z26</f>
        <v>-2531822</v>
      </c>
      <c r="AA31" s="32" t="n">
        <f aca="false">AA5+AA22+AA26</f>
        <v>1775847</v>
      </c>
      <c r="AB31" s="32" t="n">
        <f aca="false">AB5+AB22+AB26</f>
        <v>4526262</v>
      </c>
      <c r="AC31" s="32" t="n">
        <f aca="false">AC5+AC22+AC26</f>
        <v>-6791437</v>
      </c>
      <c r="AD31" s="32" t="n">
        <f aca="false">AD5+AD22+AD26</f>
        <v>55339360</v>
      </c>
      <c r="AE31" s="32" t="n">
        <f aca="false">AE5+AE22+AE26</f>
        <v>-6584219</v>
      </c>
      <c r="AF31" s="32" t="n">
        <f aca="false">AF5+AF22+AF26</f>
        <v>-7841110</v>
      </c>
      <c r="AG31" s="32" t="n">
        <f aca="false">AG5+AG22+AG26</f>
        <v>9908475</v>
      </c>
      <c r="AH31" s="32" t="n">
        <f aca="false">AH5+AH22+AH26</f>
        <v>10700076</v>
      </c>
      <c r="AI31" s="32" t="n">
        <f aca="false">AI5+AI22+AI26</f>
        <v>-6017892</v>
      </c>
      <c r="AJ31" s="32" t="n">
        <f aca="false">AJ5+AJ22+AJ26</f>
        <v>31269218</v>
      </c>
      <c r="AK31" s="32" t="n">
        <f aca="false">AK5+AK22+AK26</f>
        <v>-13006816</v>
      </c>
      <c r="AL31" s="32" t="n">
        <f aca="false">AL5+AL22+AL26</f>
        <v>-12276216</v>
      </c>
      <c r="AM31" s="32" t="n">
        <f aca="false">AM5+AM22+AM26</f>
        <v>2625349</v>
      </c>
      <c r="AN31" s="32" t="n">
        <f aca="false">AN5+AN22+AN26</f>
        <v>16632302</v>
      </c>
      <c r="AO31" s="32" t="n">
        <f aca="false">AO5+AO22+AO26</f>
        <v>-5524102</v>
      </c>
      <c r="AP31" s="32" t="n">
        <f aca="false">SUM(F31:M31)</f>
        <v>198790542</v>
      </c>
      <c r="AQ31" s="32" t="n">
        <f aca="false">SUM(N31:Y31)</f>
        <v>361203292</v>
      </c>
      <c r="AR31" s="32" t="n">
        <f aca="false">SUM(Z31:AK31)</f>
        <v>70745942</v>
      </c>
      <c r="AS31" s="32" t="n">
        <f aca="false">SUM(AL31:AO31)</f>
        <v>1457333</v>
      </c>
    </row>
    <row r="32" customFormat="false" ht="15" hidden="false" customHeight="false" outlineLevel="0" collapsed="false">
      <c r="A32" s="27" t="s">
        <v>288</v>
      </c>
      <c r="B32" s="10"/>
      <c r="F32" s="9" t="n">
        <f aca="false">0</f>
        <v>0</v>
      </c>
      <c r="G32" s="9" t="n">
        <f aca="false">F33</f>
        <v>5406951</v>
      </c>
      <c r="H32" s="9" t="n">
        <f aca="false">G33</f>
        <v>3412471</v>
      </c>
      <c r="I32" s="9" t="n">
        <f aca="false">H33</f>
        <v>1908191</v>
      </c>
      <c r="J32" s="9" t="n">
        <f aca="false">I33</f>
        <v>1757083</v>
      </c>
      <c r="K32" s="9" t="n">
        <f aca="false">J33</f>
        <v>638612</v>
      </c>
      <c r="L32" s="9" t="n">
        <f aca="false">K33</f>
        <v>487198</v>
      </c>
      <c r="M32" s="9" t="n">
        <f aca="false">L33</f>
        <v>197852731</v>
      </c>
      <c r="N32" s="9" t="n">
        <f aca="false">M33</f>
        <v>198790542</v>
      </c>
      <c r="O32" s="9" t="n">
        <f aca="false">N33</f>
        <v>174248013</v>
      </c>
      <c r="P32" s="9" t="n">
        <f aca="false">O33</f>
        <v>158679708</v>
      </c>
      <c r="Q32" s="9" t="n">
        <f aca="false">P33</f>
        <v>151956060</v>
      </c>
      <c r="R32" s="9" t="n">
        <f aca="false">Q33</f>
        <v>625292766</v>
      </c>
      <c r="S32" s="9" t="n">
        <f aca="false">R33</f>
        <v>629999552</v>
      </c>
      <c r="T32" s="9" t="n">
        <f aca="false">S33</f>
        <v>618372280</v>
      </c>
      <c r="U32" s="9" t="n">
        <f aca="false">T33</f>
        <v>602029725</v>
      </c>
      <c r="V32" s="9" t="n">
        <f aca="false">U33</f>
        <v>593673877</v>
      </c>
      <c r="W32" s="9" t="n">
        <f aca="false">V33</f>
        <v>590851251</v>
      </c>
      <c r="X32" s="9" t="n">
        <f aca="false">W33</f>
        <v>582277515</v>
      </c>
      <c r="Y32" s="9" t="n">
        <f aca="false">X33</f>
        <v>603624424</v>
      </c>
      <c r="Z32" s="9" t="n">
        <f aca="false">Y33</f>
        <v>559993834</v>
      </c>
      <c r="AA32" s="9" t="n">
        <f aca="false">Z33</f>
        <v>557462012</v>
      </c>
      <c r="AB32" s="9" t="n">
        <f aca="false">AA33</f>
        <v>559237859</v>
      </c>
      <c r="AC32" s="9" t="n">
        <f aca="false">AB33</f>
        <v>563764121</v>
      </c>
      <c r="AD32" s="9" t="n">
        <f aca="false">AC33</f>
        <v>556972684</v>
      </c>
      <c r="AE32" s="9" t="n">
        <f aca="false">AD33</f>
        <v>612312044</v>
      </c>
      <c r="AF32" s="9" t="n">
        <f aca="false">AE33</f>
        <v>605727825</v>
      </c>
      <c r="AG32" s="9" t="n">
        <f aca="false">AF33</f>
        <v>597886715</v>
      </c>
      <c r="AH32" s="9" t="n">
        <f aca="false">AG33</f>
        <v>607795190</v>
      </c>
      <c r="AI32" s="9" t="n">
        <f aca="false">AH33</f>
        <v>618495266</v>
      </c>
      <c r="AJ32" s="9" t="n">
        <f aca="false">AI33</f>
        <v>612477374</v>
      </c>
      <c r="AK32" s="9" t="n">
        <f aca="false">AJ33</f>
        <v>643746592</v>
      </c>
      <c r="AL32" s="9" t="n">
        <f aca="false">AK33</f>
        <v>630739776</v>
      </c>
      <c r="AM32" s="9" t="n">
        <f aca="false">AL33</f>
        <v>618463560</v>
      </c>
      <c r="AN32" s="9" t="n">
        <f aca="false">AM33</f>
        <v>621088909</v>
      </c>
      <c r="AO32" s="9" t="n">
        <f aca="false">AN33</f>
        <v>637721211</v>
      </c>
      <c r="AP32" s="9" t="n">
        <f aca="false">F32</f>
        <v>0</v>
      </c>
      <c r="AQ32" s="9" t="n">
        <f aca="false">N32</f>
        <v>198790542</v>
      </c>
      <c r="AR32" s="9" t="n">
        <f aca="false">Z32</f>
        <v>559993834</v>
      </c>
      <c r="AS32" s="9" t="n">
        <f aca="false">AL32</f>
        <v>630739776</v>
      </c>
    </row>
    <row r="33" customFormat="false" ht="15" hidden="false" customHeight="false" outlineLevel="0" collapsed="false">
      <c r="A33" s="34" t="s">
        <v>289</v>
      </c>
      <c r="B33" s="25"/>
      <c r="C33" s="22"/>
      <c r="D33" s="22"/>
      <c r="E33" s="22"/>
      <c r="F33" s="23" t="n">
        <f aca="false">F32+F31</f>
        <v>5406951</v>
      </c>
      <c r="G33" s="23" t="n">
        <f aca="false">G32+G31</f>
        <v>3412471</v>
      </c>
      <c r="H33" s="23" t="n">
        <f aca="false">H32+H31</f>
        <v>1908191</v>
      </c>
      <c r="I33" s="23" t="n">
        <f aca="false">I32+I31</f>
        <v>1757083</v>
      </c>
      <c r="J33" s="23" t="n">
        <f aca="false">J32+J31</f>
        <v>638612</v>
      </c>
      <c r="K33" s="23" t="n">
        <f aca="false">K32+K31</f>
        <v>487198</v>
      </c>
      <c r="L33" s="23" t="n">
        <f aca="false">L32+L31</f>
        <v>197852731</v>
      </c>
      <c r="M33" s="23" t="n">
        <f aca="false">M32+M31</f>
        <v>198790542</v>
      </c>
      <c r="N33" s="23" t="n">
        <f aca="false">N32+N31</f>
        <v>174248013</v>
      </c>
      <c r="O33" s="23" t="n">
        <f aca="false">O32+O31</f>
        <v>158679708</v>
      </c>
      <c r="P33" s="23" t="n">
        <f aca="false">P32+P31</f>
        <v>151956060</v>
      </c>
      <c r="Q33" s="23" t="n">
        <f aca="false">Q32+Q31</f>
        <v>625292766</v>
      </c>
      <c r="R33" s="23" t="n">
        <f aca="false">R32+R31</f>
        <v>629999552</v>
      </c>
      <c r="S33" s="23" t="n">
        <f aca="false">S32+S31</f>
        <v>618372280</v>
      </c>
      <c r="T33" s="23" t="n">
        <f aca="false">T32+T31</f>
        <v>602029725</v>
      </c>
      <c r="U33" s="23" t="n">
        <f aca="false">U32+U31</f>
        <v>593673877</v>
      </c>
      <c r="V33" s="23" t="n">
        <f aca="false">V32+V31</f>
        <v>590851251</v>
      </c>
      <c r="W33" s="23" t="n">
        <f aca="false">W32+W31</f>
        <v>582277515</v>
      </c>
      <c r="X33" s="23" t="n">
        <f aca="false">X32+X31</f>
        <v>603624424</v>
      </c>
      <c r="Y33" s="23" t="n">
        <f aca="false">Y32+Y31</f>
        <v>559993834</v>
      </c>
      <c r="Z33" s="23" t="n">
        <f aca="false">Z32+Z31</f>
        <v>557462012</v>
      </c>
      <c r="AA33" s="23" t="n">
        <f aca="false">AA32+AA31</f>
        <v>559237859</v>
      </c>
      <c r="AB33" s="23" t="n">
        <f aca="false">AB32+AB31</f>
        <v>563764121</v>
      </c>
      <c r="AC33" s="23" t="n">
        <f aca="false">AC32+AC31</f>
        <v>556972684</v>
      </c>
      <c r="AD33" s="23" t="n">
        <f aca="false">AD32+AD31</f>
        <v>612312044</v>
      </c>
      <c r="AE33" s="23" t="n">
        <f aca="false">AE32+AE31</f>
        <v>605727825</v>
      </c>
      <c r="AF33" s="23" t="n">
        <f aca="false">AF32+AF31</f>
        <v>597886715</v>
      </c>
      <c r="AG33" s="23" t="n">
        <f aca="false">AG32+AG31</f>
        <v>607795190</v>
      </c>
      <c r="AH33" s="23" t="n">
        <f aca="false">AH32+AH31</f>
        <v>618495266</v>
      </c>
      <c r="AI33" s="23" t="n">
        <f aca="false">AI32+AI31</f>
        <v>612477374</v>
      </c>
      <c r="AJ33" s="23" t="n">
        <f aca="false">AJ32+AJ31</f>
        <v>643746592</v>
      </c>
      <c r="AK33" s="23" t="n">
        <f aca="false">AK32+AK31</f>
        <v>630739776</v>
      </c>
      <c r="AL33" s="23" t="n">
        <f aca="false">AL32+AL31</f>
        <v>618463560</v>
      </c>
      <c r="AM33" s="23" t="n">
        <f aca="false">AM32+AM31</f>
        <v>621088909</v>
      </c>
      <c r="AN33" s="23" t="n">
        <f aca="false">AN32+AN31</f>
        <v>637721211</v>
      </c>
      <c r="AO33" s="23" t="n">
        <f aca="false">AO32+AO31</f>
        <v>632197109</v>
      </c>
      <c r="AP33" s="23" t="n">
        <f aca="false">M33</f>
        <v>198790542</v>
      </c>
      <c r="AQ33" s="23" t="n">
        <f aca="false">Y33</f>
        <v>559993834</v>
      </c>
      <c r="AR33" s="23" t="n">
        <f aca="false">AK33</f>
        <v>630739776</v>
      </c>
      <c r="AS33" s="23" t="n">
        <f aca="false">AO33</f>
        <v>632197109</v>
      </c>
    </row>
    <row r="34" customFormat="false" ht="15" hidden="false" customHeight="false" outlineLevel="0" collapsed="false">
      <c r="A34" s="30" t="s">
        <v>290</v>
      </c>
      <c r="B34" s="10"/>
      <c r="F34" s="9" t="n">
        <f aca="false">F5+F22</f>
        <v>-4593049</v>
      </c>
      <c r="G34" s="9" t="n">
        <f aca="false">G5+G22</f>
        <v>-1994480</v>
      </c>
      <c r="H34" s="9" t="n">
        <f aca="false">H5+H22</f>
        <v>-1504280</v>
      </c>
      <c r="I34" s="9" t="n">
        <f aca="false">I5+I22</f>
        <v>-151108</v>
      </c>
      <c r="J34" s="9" t="n">
        <f aca="false">J5+J22</f>
        <v>-1118471</v>
      </c>
      <c r="K34" s="9" t="n">
        <f aca="false">K5+K22</f>
        <v>-151414</v>
      </c>
      <c r="L34" s="9" t="n">
        <f aca="false">L5+L22</f>
        <v>-2634467</v>
      </c>
      <c r="M34" s="9" t="n">
        <f aca="false">M5+M22</f>
        <v>937811</v>
      </c>
      <c r="N34" s="9" t="n">
        <f aca="false">N5+N22</f>
        <v>-24542529</v>
      </c>
      <c r="O34" s="9" t="n">
        <f aca="false">O5+O22</f>
        <v>-15568305</v>
      </c>
      <c r="P34" s="9" t="n">
        <f aca="false">P5+P22</f>
        <v>-6723648</v>
      </c>
      <c r="Q34" s="9" t="n">
        <f aca="false">Q5+Q22</f>
        <v>-26663294</v>
      </c>
      <c r="R34" s="9" t="n">
        <f aca="false">R5+R22</f>
        <v>4706786</v>
      </c>
      <c r="S34" s="9" t="n">
        <f aca="false">S5+S22</f>
        <v>-11627272</v>
      </c>
      <c r="T34" s="9" t="n">
        <f aca="false">T5+T22</f>
        <v>-16342555</v>
      </c>
      <c r="U34" s="9" t="n">
        <f aca="false">U5+U22</f>
        <v>-8355848</v>
      </c>
      <c r="V34" s="9" t="n">
        <f aca="false">V5+V22</f>
        <v>-2822626</v>
      </c>
      <c r="W34" s="9" t="n">
        <f aca="false">W5+W22</f>
        <v>-8573736</v>
      </c>
      <c r="X34" s="9" t="n">
        <f aca="false">X5+X22</f>
        <v>21346909</v>
      </c>
      <c r="Y34" s="9" t="n">
        <f aca="false">Y5+Y22</f>
        <v>-43630590</v>
      </c>
      <c r="Z34" s="9" t="n">
        <f aca="false">Z5+Z22</f>
        <v>-2531822</v>
      </c>
      <c r="AA34" s="9" t="n">
        <f aca="false">AA5+AA22</f>
        <v>1775847</v>
      </c>
      <c r="AB34" s="9" t="n">
        <f aca="false">AB5+AB22</f>
        <v>4526262</v>
      </c>
      <c r="AC34" s="9" t="n">
        <f aca="false">AC5+AC22</f>
        <v>-6791437</v>
      </c>
      <c r="AD34" s="9" t="n">
        <f aca="false">AD5+AD22</f>
        <v>55339360</v>
      </c>
      <c r="AE34" s="9" t="n">
        <f aca="false">AE5+AE22</f>
        <v>-6584219</v>
      </c>
      <c r="AF34" s="9" t="n">
        <f aca="false">AF5+AF22</f>
        <v>-7841110</v>
      </c>
      <c r="AG34" s="9" t="n">
        <f aca="false">AG5+AG22</f>
        <v>9908475</v>
      </c>
      <c r="AH34" s="9" t="n">
        <f aca="false">AH5+AH22</f>
        <v>10700076</v>
      </c>
      <c r="AI34" s="9" t="n">
        <f aca="false">AI5+AI22</f>
        <v>-6017892</v>
      </c>
      <c r="AJ34" s="9" t="n">
        <f aca="false">AJ5+AJ22</f>
        <v>36824774</v>
      </c>
      <c r="AK34" s="9" t="n">
        <f aca="false">AK5+AK22</f>
        <v>-7451260</v>
      </c>
      <c r="AL34" s="9" t="n">
        <f aca="false">AL5+AL22</f>
        <v>-6720660</v>
      </c>
      <c r="AM34" s="9" t="n">
        <f aca="false">AM5+AM22</f>
        <v>8180905</v>
      </c>
      <c r="AN34" s="9" t="n">
        <f aca="false">AN5+AN22</f>
        <v>22187858</v>
      </c>
      <c r="AO34" s="9" t="n">
        <f aca="false">AO5+AO22</f>
        <v>31454</v>
      </c>
      <c r="AP34" s="9" t="n">
        <f aca="false">SUM(F34:M34)</f>
        <v>-11209458</v>
      </c>
      <c r="AQ34" s="9" t="n">
        <f aca="false">SUM(N34:Y34)</f>
        <v>-138796708</v>
      </c>
      <c r="AR34" s="9" t="n">
        <f aca="false">SUM(Z34:AK34)</f>
        <v>81857054</v>
      </c>
      <c r="AS34" s="9" t="n">
        <f aca="false">SUM(AL34:AO34)</f>
        <v>23679557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T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4"/>
    <col collapsed="false" customWidth="true" hidden="false" outlineLevel="0" max="3" min="3" style="0" width="30"/>
    <col collapsed="false" customWidth="true" hidden="false" outlineLevel="0" max="4" min="4" style="0" width="40"/>
    <col collapsed="false" customWidth="true" hidden="false" outlineLevel="0" max="5" min="5" style="0" width="26"/>
    <col collapsed="false" customWidth="true" hidden="false" outlineLevel="0" max="41" min="6" style="0" width="13"/>
    <col collapsed="false" customWidth="true" hidden="false" outlineLevel="0" max="45" min="42" style="0" width="16"/>
    <col collapsed="false" customWidth="true" hidden="false" outlineLevel="0" max="46" min="46" style="0" width="40"/>
  </cols>
  <sheetData>
    <row r="1" customFormat="false" ht="17.15" hidden="false" customHeight="false" outlineLevel="0" collapsed="false">
      <c r="A1" s="1" t="s">
        <v>291</v>
      </c>
    </row>
    <row r="2" customFormat="false" ht="15" hidden="false" customHeight="false" outlineLevel="0" collapsed="false">
      <c r="A2" s="24" t="s">
        <v>292</v>
      </c>
    </row>
    <row r="3" customFormat="false" ht="30" hidden="false" customHeight="true" outlineLevel="0" collapsed="false">
      <c r="A3" s="11" t="s">
        <v>293</v>
      </c>
      <c r="B3" s="11" t="s">
        <v>294</v>
      </c>
      <c r="C3" s="11"/>
      <c r="D3" s="11"/>
      <c r="E3" s="11"/>
      <c r="F3" s="12" t="s">
        <v>31</v>
      </c>
      <c r="G3" s="12" t="s">
        <v>32</v>
      </c>
      <c r="H3" s="12" t="s">
        <v>33</v>
      </c>
      <c r="I3" s="12" t="s">
        <v>34</v>
      </c>
      <c r="J3" s="12" t="s">
        <v>35</v>
      </c>
      <c r="K3" s="12" t="s">
        <v>36</v>
      </c>
      <c r="L3" s="12" t="s">
        <v>37</v>
      </c>
      <c r="M3" s="12" t="s">
        <v>38</v>
      </c>
      <c r="N3" s="12" t="s">
        <v>39</v>
      </c>
      <c r="O3" s="12" t="s">
        <v>40</v>
      </c>
      <c r="P3" s="12" t="s">
        <v>41</v>
      </c>
      <c r="Q3" s="12" t="s">
        <v>42</v>
      </c>
      <c r="R3" s="12" t="s">
        <v>43</v>
      </c>
      <c r="S3" s="12" t="s">
        <v>44</v>
      </c>
      <c r="T3" s="12" t="s">
        <v>45</v>
      </c>
      <c r="U3" s="12" t="s">
        <v>46</v>
      </c>
      <c r="V3" s="12" t="s">
        <v>47</v>
      </c>
      <c r="W3" s="12" t="s">
        <v>48</v>
      </c>
      <c r="X3" s="12" t="s">
        <v>49</v>
      </c>
      <c r="Y3" s="12" t="s">
        <v>50</v>
      </c>
      <c r="Z3" s="12" t="s">
        <v>51</v>
      </c>
      <c r="AA3" s="12" t="s">
        <v>52</v>
      </c>
      <c r="AB3" s="12" t="s">
        <v>53</v>
      </c>
      <c r="AC3" s="12" t="s">
        <v>54</v>
      </c>
      <c r="AD3" s="12" t="s">
        <v>55</v>
      </c>
      <c r="AE3" s="12" t="s">
        <v>56</v>
      </c>
      <c r="AF3" s="12" t="s">
        <v>57</v>
      </c>
      <c r="AG3" s="12" t="s">
        <v>58</v>
      </c>
      <c r="AH3" s="12" t="s">
        <v>59</v>
      </c>
      <c r="AI3" s="12" t="s">
        <v>60</v>
      </c>
      <c r="AJ3" s="12" t="s">
        <v>61</v>
      </c>
      <c r="AK3" s="12" t="s">
        <v>62</v>
      </c>
      <c r="AL3" s="12" t="s">
        <v>63</v>
      </c>
      <c r="AM3" s="12" t="s">
        <v>64</v>
      </c>
      <c r="AN3" s="12" t="s">
        <v>65</v>
      </c>
      <c r="AO3" s="12" t="s">
        <v>66</v>
      </c>
      <c r="AP3" s="12" t="s">
        <v>67</v>
      </c>
      <c r="AQ3" s="12" t="s">
        <v>68</v>
      </c>
      <c r="AR3" s="12" t="s">
        <v>69</v>
      </c>
      <c r="AS3" s="12" t="s">
        <v>70</v>
      </c>
      <c r="AT3" s="11" t="s">
        <v>295</v>
      </c>
    </row>
    <row r="4" customFormat="false" ht="15" hidden="false" customHeight="false" outlineLevel="0" collapsed="false">
      <c r="A4" s="10" t="s">
        <v>72</v>
      </c>
      <c r="F4" s="13" t="s">
        <v>73</v>
      </c>
      <c r="G4" s="13" t="s">
        <v>73</v>
      </c>
      <c r="H4" s="13" t="s">
        <v>73</v>
      </c>
      <c r="I4" s="13" t="s">
        <v>73</v>
      </c>
      <c r="J4" s="13" t="s">
        <v>73</v>
      </c>
      <c r="K4" s="13" t="s">
        <v>73</v>
      </c>
      <c r="L4" s="13" t="s">
        <v>73</v>
      </c>
      <c r="M4" s="13" t="s">
        <v>73</v>
      </c>
      <c r="N4" s="14" t="s">
        <v>74</v>
      </c>
      <c r="O4" s="14" t="s">
        <v>74</v>
      </c>
      <c r="P4" s="14" t="s">
        <v>74</v>
      </c>
      <c r="Q4" s="14" t="s">
        <v>74</v>
      </c>
      <c r="R4" s="14" t="s">
        <v>74</v>
      </c>
      <c r="S4" s="14" t="s">
        <v>74</v>
      </c>
      <c r="T4" s="14" t="s">
        <v>74</v>
      </c>
      <c r="U4" s="14" t="s">
        <v>74</v>
      </c>
      <c r="V4" s="14" t="s">
        <v>74</v>
      </c>
      <c r="W4" s="15" t="s">
        <v>74</v>
      </c>
      <c r="X4" s="15" t="s">
        <v>74</v>
      </c>
      <c r="Y4" s="15" t="s">
        <v>74</v>
      </c>
      <c r="Z4" s="15" t="s">
        <v>74</v>
      </c>
      <c r="AA4" s="15" t="s">
        <v>74</v>
      </c>
      <c r="AB4" s="15" t="s">
        <v>74</v>
      </c>
      <c r="AC4" s="15" t="s">
        <v>74</v>
      </c>
      <c r="AD4" s="15" t="s">
        <v>74</v>
      </c>
      <c r="AE4" s="15" t="s">
        <v>74</v>
      </c>
      <c r="AF4" s="15" t="s">
        <v>74</v>
      </c>
      <c r="AG4" s="15" t="s">
        <v>74</v>
      </c>
      <c r="AH4" s="15" t="s">
        <v>74</v>
      </c>
      <c r="AI4" s="15" t="s">
        <v>74</v>
      </c>
      <c r="AJ4" s="15" t="s">
        <v>74</v>
      </c>
      <c r="AK4" s="15" t="s">
        <v>74</v>
      </c>
      <c r="AL4" s="15" t="s">
        <v>74</v>
      </c>
      <c r="AM4" s="15" t="s">
        <v>74</v>
      </c>
      <c r="AN4" s="15" t="s">
        <v>74</v>
      </c>
      <c r="AO4" s="15" t="s">
        <v>74</v>
      </c>
      <c r="AP4" s="16" t="s">
        <v>75</v>
      </c>
      <c r="AQ4" s="16" t="s">
        <v>75</v>
      </c>
      <c r="AR4" s="16" t="s">
        <v>75</v>
      </c>
      <c r="AS4" s="16" t="s">
        <v>75</v>
      </c>
    </row>
    <row r="5" customFormat="false" ht="15" hidden="false" customHeight="false" outlineLevel="0" collapsed="false">
      <c r="A5" s="4" t="s">
        <v>296</v>
      </c>
    </row>
    <row r="6" customFormat="false" ht="15" hidden="false" customHeight="false" outlineLevel="0" collapsed="false">
      <c r="A6" s="18" t="s">
        <v>297</v>
      </c>
      <c r="B6" s="29"/>
      <c r="C6" s="19"/>
      <c r="D6" s="19"/>
      <c r="E6" s="19"/>
      <c r="F6" s="20" t="n">
        <f aca="false">SUM(F7:F11)</f>
        <v>5406951</v>
      </c>
      <c r="G6" s="20" t="n">
        <f aca="false">SUM(G7:G11)</f>
        <v>3412471</v>
      </c>
      <c r="H6" s="20" t="n">
        <f aca="false">SUM(H7:H11)</f>
        <v>1908191</v>
      </c>
      <c r="I6" s="20" t="n">
        <f aca="false">SUM(I7:I11)</f>
        <v>1757083</v>
      </c>
      <c r="J6" s="20" t="n">
        <f aca="false">SUM(J7:J11)</f>
        <v>638612</v>
      </c>
      <c r="K6" s="20" t="n">
        <f aca="false">SUM(K7:K11)</f>
        <v>487198</v>
      </c>
      <c r="L6" s="20" t="n">
        <f aca="false">SUM(L7:L11)</f>
        <v>198352731</v>
      </c>
      <c r="M6" s="20" t="n">
        <f aca="false">SUM(M7:M11)</f>
        <v>199742022</v>
      </c>
      <c r="N6" s="20" t="n">
        <f aca="false">SUM(N7:N11)</f>
        <v>175797344</v>
      </c>
      <c r="O6" s="20" t="n">
        <f aca="false">SUM(O7:O11)</f>
        <v>160593088</v>
      </c>
      <c r="P6" s="20" t="n">
        <f aca="false">SUM(P7:P11)</f>
        <v>172889591</v>
      </c>
      <c r="Q6" s="20" t="n">
        <f aca="false">SUM(Q7:Q11)</f>
        <v>649005781</v>
      </c>
      <c r="R6" s="20" t="n">
        <f aca="false">SUM(R7:R11)</f>
        <v>633460391</v>
      </c>
      <c r="S6" s="20" t="n">
        <f aca="false">SUM(S7:S11)</f>
        <v>624089071</v>
      </c>
      <c r="T6" s="20" t="n">
        <f aca="false">SUM(T7:T11)</f>
        <v>607538601</v>
      </c>
      <c r="U6" s="20" t="n">
        <f aca="false">SUM(U7:U11)</f>
        <v>599385227</v>
      </c>
      <c r="V6" s="20" t="n">
        <f aca="false">SUM(V7:V11)</f>
        <v>615836141</v>
      </c>
      <c r="W6" s="20" t="n">
        <f aca="false">SUM(W7:W11)</f>
        <v>608637542</v>
      </c>
      <c r="X6" s="20" t="n">
        <f aca="false">SUM(X7:X11)</f>
        <v>610345608</v>
      </c>
      <c r="Y6" s="20" t="n">
        <f aca="false">SUM(Y7:Y11)</f>
        <v>569624048</v>
      </c>
      <c r="Z6" s="20" t="n">
        <f aca="false">SUM(Z7:Z11)</f>
        <v>567204120</v>
      </c>
      <c r="AA6" s="20" t="n">
        <f aca="false">SUM(AA7:AA11)</f>
        <v>568644016</v>
      </c>
      <c r="AB6" s="20" t="n">
        <f aca="false">SUM(AB7:AB11)</f>
        <v>640777047</v>
      </c>
      <c r="AC6" s="20" t="n">
        <f aca="false">SUM(AC7:AC11)</f>
        <v>636409548</v>
      </c>
      <c r="AD6" s="20" t="n">
        <f aca="false">SUM(AD7:AD11)</f>
        <v>622688252</v>
      </c>
      <c r="AE6" s="20" t="n">
        <f aca="false">SUM(AE7:AE11)</f>
        <v>620287139</v>
      </c>
      <c r="AF6" s="20" t="n">
        <f aca="false">SUM(AF7:AF11)</f>
        <v>611556760</v>
      </c>
      <c r="AG6" s="20" t="n">
        <f aca="false">SUM(AG7:AG11)</f>
        <v>621620088</v>
      </c>
      <c r="AH6" s="20" t="n">
        <f aca="false">SUM(AH7:AH11)</f>
        <v>677956442</v>
      </c>
      <c r="AI6" s="20" t="n">
        <f aca="false">SUM(AI7:AI11)</f>
        <v>674433499</v>
      </c>
      <c r="AJ6" s="20" t="n">
        <f aca="false">SUM(AJ7:AJ11)</f>
        <v>657660871</v>
      </c>
      <c r="AK6" s="20" t="n">
        <f aca="false">SUM(AK7:AK11)</f>
        <v>648805926</v>
      </c>
      <c r="AL6" s="20" t="n">
        <f aca="false">SUM(AL7:AL11)</f>
        <v>635946389</v>
      </c>
      <c r="AM6" s="20" t="n">
        <f aca="false">SUM(AM7:AM11)</f>
        <v>637658990</v>
      </c>
      <c r="AN6" s="20" t="n">
        <f aca="false">SUM(AN7:AN11)</f>
        <v>713948618</v>
      </c>
      <c r="AO6" s="20" t="n">
        <f aca="false">SUM(AO7:AO11)</f>
        <v>711643426</v>
      </c>
      <c r="AP6" s="20" t="n">
        <f aca="false">M6</f>
        <v>199742022</v>
      </c>
      <c r="AQ6" s="20" t="n">
        <f aca="false">Y6</f>
        <v>569624048</v>
      </c>
      <c r="AR6" s="20" t="n">
        <f aca="false">AK6</f>
        <v>648805926</v>
      </c>
      <c r="AS6" s="20" t="n">
        <f aca="false">AO6</f>
        <v>711643426</v>
      </c>
      <c r="AT6" s="17" t="s">
        <v>298</v>
      </c>
    </row>
    <row r="7" customFormat="false" ht="15" hidden="false" customHeight="false" outlineLevel="0" collapsed="false">
      <c r="A7" s="30" t="s">
        <v>299</v>
      </c>
      <c r="B7" s="10" t="s">
        <v>300</v>
      </c>
      <c r="F7" s="8" t="n">
        <f aca="false">'현금흐름표(CF)'!F33</f>
        <v>5406951</v>
      </c>
      <c r="G7" s="8" t="n">
        <f aca="false">'현금흐름표(CF)'!G33</f>
        <v>3412471</v>
      </c>
      <c r="H7" s="8" t="n">
        <f aca="false">'현금흐름표(CF)'!H33</f>
        <v>1908191</v>
      </c>
      <c r="I7" s="8" t="n">
        <f aca="false">'현금흐름표(CF)'!I33</f>
        <v>1757083</v>
      </c>
      <c r="J7" s="8" t="n">
        <f aca="false">'현금흐름표(CF)'!J33</f>
        <v>638612</v>
      </c>
      <c r="K7" s="8" t="n">
        <f aca="false">'현금흐름표(CF)'!K33</f>
        <v>487198</v>
      </c>
      <c r="L7" s="8" t="n">
        <f aca="false">'현금흐름표(CF)'!L33</f>
        <v>197852731</v>
      </c>
      <c r="M7" s="8" t="n">
        <f aca="false">'현금흐름표(CF)'!M33</f>
        <v>198790542</v>
      </c>
      <c r="N7" s="8" t="n">
        <f aca="false">'현금흐름표(CF)'!N33</f>
        <v>174248013</v>
      </c>
      <c r="O7" s="8" t="n">
        <f aca="false">'현금흐름표(CF)'!O33</f>
        <v>158679708</v>
      </c>
      <c r="P7" s="8" t="n">
        <f aca="false">'현금흐름표(CF)'!P33</f>
        <v>151956060</v>
      </c>
      <c r="Q7" s="8" t="n">
        <f aca="false">'현금흐름표(CF)'!Q33</f>
        <v>625292766</v>
      </c>
      <c r="R7" s="8" t="n">
        <f aca="false">'현금흐름표(CF)'!R33</f>
        <v>629999552</v>
      </c>
      <c r="S7" s="8" t="n">
        <f aca="false">'현금흐름표(CF)'!S33</f>
        <v>618372280</v>
      </c>
      <c r="T7" s="8" t="n">
        <f aca="false">'현금흐름표(CF)'!T33</f>
        <v>602029725</v>
      </c>
      <c r="U7" s="8" t="n">
        <f aca="false">'현금흐름표(CF)'!U33</f>
        <v>593673877</v>
      </c>
      <c r="V7" s="8" t="n">
        <f aca="false">'현금흐름표(CF)'!V33</f>
        <v>590851251</v>
      </c>
      <c r="W7" s="8" t="n">
        <f aca="false">'현금흐름표(CF)'!W33</f>
        <v>582277515</v>
      </c>
      <c r="X7" s="8" t="n">
        <f aca="false">'현금흐름표(CF)'!X33</f>
        <v>603624424</v>
      </c>
      <c r="Y7" s="8" t="n">
        <f aca="false">'현금흐름표(CF)'!Y33</f>
        <v>559993834</v>
      </c>
      <c r="Z7" s="8" t="n">
        <f aca="false">'현금흐름표(CF)'!Z33</f>
        <v>557462012</v>
      </c>
      <c r="AA7" s="8" t="n">
        <f aca="false">'현금흐름표(CF)'!AA33</f>
        <v>559237859</v>
      </c>
      <c r="AB7" s="8" t="n">
        <f aca="false">'현금흐름표(CF)'!AB33</f>
        <v>563764121</v>
      </c>
      <c r="AC7" s="8" t="n">
        <f aca="false">'현금흐름표(CF)'!AC33</f>
        <v>556972684</v>
      </c>
      <c r="AD7" s="8" t="n">
        <f aca="false">'현금흐름표(CF)'!AD33</f>
        <v>612312044</v>
      </c>
      <c r="AE7" s="8" t="n">
        <f aca="false">'현금흐름표(CF)'!AE33</f>
        <v>605727825</v>
      </c>
      <c r="AF7" s="8" t="n">
        <f aca="false">'현금흐름표(CF)'!AF33</f>
        <v>597886715</v>
      </c>
      <c r="AG7" s="8" t="n">
        <f aca="false">'현금흐름표(CF)'!AG33</f>
        <v>607795190</v>
      </c>
      <c r="AH7" s="8" t="n">
        <f aca="false">'현금흐름표(CF)'!AH33</f>
        <v>618495266</v>
      </c>
      <c r="AI7" s="8" t="n">
        <f aca="false">'현금흐름표(CF)'!AI33</f>
        <v>612477374</v>
      </c>
      <c r="AJ7" s="8" t="n">
        <f aca="false">'현금흐름표(CF)'!AJ33</f>
        <v>643746592</v>
      </c>
      <c r="AK7" s="8" t="n">
        <f aca="false">'현금흐름표(CF)'!AK33</f>
        <v>630739776</v>
      </c>
      <c r="AL7" s="8" t="n">
        <f aca="false">'현금흐름표(CF)'!AL33</f>
        <v>618463560</v>
      </c>
      <c r="AM7" s="8" t="n">
        <f aca="false">'현금흐름표(CF)'!AM33</f>
        <v>621088909</v>
      </c>
      <c r="AN7" s="8" t="n">
        <f aca="false">'현금흐름표(CF)'!AN33</f>
        <v>637721211</v>
      </c>
      <c r="AO7" s="8" t="n">
        <f aca="false">'현금흐름표(CF)'!AO33</f>
        <v>632197109</v>
      </c>
      <c r="AP7" s="8" t="n">
        <f aca="false">M7</f>
        <v>198790542</v>
      </c>
      <c r="AQ7" s="8" t="n">
        <f aca="false">Y7</f>
        <v>559993834</v>
      </c>
      <c r="AR7" s="8" t="n">
        <f aca="false">AK7</f>
        <v>630739776</v>
      </c>
      <c r="AS7" s="8" t="n">
        <f aca="false">AO7</f>
        <v>632197109</v>
      </c>
      <c r="AT7" s="17" t="s">
        <v>301</v>
      </c>
    </row>
    <row r="8" customFormat="false" ht="15" hidden="false" customHeight="false" outlineLevel="0" collapsed="false">
      <c r="A8" s="2" t="s">
        <v>302</v>
      </c>
      <c r="B8" s="10" t="s">
        <v>303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16500000</v>
      </c>
      <c r="Q8" s="7" t="n">
        <v>19800000</v>
      </c>
      <c r="R8" s="7" t="n">
        <v>176000</v>
      </c>
      <c r="S8" s="7" t="n">
        <v>2428800</v>
      </c>
      <c r="T8" s="7" t="n">
        <v>1656600</v>
      </c>
      <c r="U8" s="7" t="n">
        <v>510400</v>
      </c>
      <c r="V8" s="7" t="n">
        <v>16548400</v>
      </c>
      <c r="W8" s="7" t="n">
        <v>18836400</v>
      </c>
      <c r="X8" s="7" t="n">
        <v>774400</v>
      </c>
      <c r="Y8" s="7" t="n">
        <v>4162400</v>
      </c>
      <c r="Z8" s="7" t="n">
        <v>2875400</v>
      </c>
      <c r="AA8" s="7" t="n">
        <v>1038400</v>
      </c>
      <c r="AB8" s="7" t="n">
        <v>64376400</v>
      </c>
      <c r="AC8" s="7" t="n">
        <v>67764400</v>
      </c>
      <c r="AD8" s="7" t="n">
        <v>1302400</v>
      </c>
      <c r="AE8" s="7" t="n">
        <v>5790400</v>
      </c>
      <c r="AF8" s="7" t="n">
        <v>3953400</v>
      </c>
      <c r="AG8" s="7" t="n">
        <v>1566400</v>
      </c>
      <c r="AH8" s="7" t="n">
        <v>41914400</v>
      </c>
      <c r="AI8" s="7" t="n">
        <v>46384800</v>
      </c>
      <c r="AJ8" s="7" t="n">
        <v>1760000</v>
      </c>
      <c r="AK8" s="7" t="n">
        <v>7260000</v>
      </c>
      <c r="AL8" s="7" t="n">
        <v>4785000</v>
      </c>
      <c r="AM8" s="7" t="n">
        <v>1760000</v>
      </c>
      <c r="AN8" s="7" t="n">
        <v>55330000</v>
      </c>
      <c r="AO8" s="7" t="n">
        <v>60280000</v>
      </c>
      <c r="AP8" s="9" t="n">
        <f aca="false">M8</f>
        <v>0</v>
      </c>
      <c r="AQ8" s="9" t="n">
        <f aca="false">Y8</f>
        <v>4162400</v>
      </c>
      <c r="AR8" s="9" t="n">
        <f aca="false">AK8</f>
        <v>7260000</v>
      </c>
      <c r="AS8" s="9" t="n">
        <f aca="false">AO8</f>
        <v>60280000</v>
      </c>
      <c r="AT8" s="2" t="s">
        <v>304</v>
      </c>
    </row>
    <row r="9" customFormat="false" ht="15" hidden="false" customHeight="false" outlineLevel="0" collapsed="false">
      <c r="A9" s="2" t="s">
        <v>305</v>
      </c>
      <c r="B9" s="10" t="s">
        <v>306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1370567</v>
      </c>
      <c r="O9" s="7" t="n">
        <v>1913380</v>
      </c>
      <c r="P9" s="7" t="n">
        <v>3683531</v>
      </c>
      <c r="Q9" s="7" t="n">
        <v>3913015</v>
      </c>
      <c r="R9" s="7" t="n">
        <v>3284839</v>
      </c>
      <c r="S9" s="7" t="n">
        <v>3287991</v>
      </c>
      <c r="T9" s="7" t="n">
        <v>3852276</v>
      </c>
      <c r="U9" s="7" t="n">
        <v>5200950</v>
      </c>
      <c r="V9" s="7" t="n">
        <v>7536490</v>
      </c>
      <c r="W9" s="7" t="n">
        <v>7523627</v>
      </c>
      <c r="X9" s="7" t="n">
        <v>5946784</v>
      </c>
      <c r="Y9" s="7" t="n">
        <v>5467814</v>
      </c>
      <c r="Z9" s="7" t="n">
        <v>6866708</v>
      </c>
      <c r="AA9" s="7" t="n">
        <v>8367757</v>
      </c>
      <c r="AB9" s="7" t="n">
        <v>11586526</v>
      </c>
      <c r="AC9" s="7" t="n">
        <v>11672464</v>
      </c>
      <c r="AD9" s="7" t="n">
        <v>9073808</v>
      </c>
      <c r="AE9" s="7" t="n">
        <v>8768914</v>
      </c>
      <c r="AF9" s="7" t="n">
        <v>9716645</v>
      </c>
      <c r="AG9" s="7" t="n">
        <v>12258498</v>
      </c>
      <c r="AH9" s="7" t="n">
        <v>16346776</v>
      </c>
      <c r="AI9" s="7" t="n">
        <v>15571325</v>
      </c>
      <c r="AJ9" s="7" t="n">
        <v>12154279</v>
      </c>
      <c r="AK9" s="7" t="n">
        <v>10806150</v>
      </c>
      <c r="AL9" s="7" t="n">
        <v>12697829</v>
      </c>
      <c r="AM9" s="7" t="n">
        <v>14810081</v>
      </c>
      <c r="AN9" s="7" t="n">
        <v>19547407</v>
      </c>
      <c r="AO9" s="7" t="n">
        <v>19166317</v>
      </c>
      <c r="AP9" s="9" t="n">
        <f aca="false">M9</f>
        <v>0</v>
      </c>
      <c r="AQ9" s="9" t="n">
        <f aca="false">Y9</f>
        <v>5467814</v>
      </c>
      <c r="AR9" s="9" t="n">
        <f aca="false">AK9</f>
        <v>10806150</v>
      </c>
      <c r="AS9" s="9" t="n">
        <f aca="false">AO9</f>
        <v>19166317</v>
      </c>
      <c r="AT9" s="2" t="s">
        <v>307</v>
      </c>
    </row>
    <row r="10" customFormat="false" ht="15" hidden="false" customHeight="false" outlineLevel="0" collapsed="false">
      <c r="A10" s="2" t="s">
        <v>308</v>
      </c>
      <c r="B10" s="10" t="s">
        <v>309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500000</v>
      </c>
      <c r="M10" s="7" t="n">
        <v>951480</v>
      </c>
      <c r="N10" s="7" t="n">
        <v>0</v>
      </c>
      <c r="O10" s="7" t="n">
        <v>0</v>
      </c>
      <c r="P10" s="7" t="n">
        <v>750000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900000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0</v>
      </c>
      <c r="AB10" s="7" t="n">
        <v>1050000</v>
      </c>
      <c r="AC10" s="7" t="n">
        <v>0</v>
      </c>
      <c r="AD10" s="7" t="n">
        <v>0</v>
      </c>
      <c r="AE10" s="7" t="n">
        <v>0</v>
      </c>
      <c r="AF10" s="7" t="n">
        <v>0</v>
      </c>
      <c r="AG10" s="7" t="n">
        <v>0</v>
      </c>
      <c r="AH10" s="7" t="n">
        <v>1200000</v>
      </c>
      <c r="AI10" s="7" t="n">
        <v>0</v>
      </c>
      <c r="AJ10" s="7" t="n">
        <v>0</v>
      </c>
      <c r="AK10" s="7" t="n">
        <v>0</v>
      </c>
      <c r="AL10" s="7" t="n">
        <v>0</v>
      </c>
      <c r="AM10" s="7" t="n">
        <v>0</v>
      </c>
      <c r="AN10" s="7" t="n">
        <v>1350000</v>
      </c>
      <c r="AO10" s="7" t="n">
        <v>0</v>
      </c>
      <c r="AP10" s="9" t="n">
        <f aca="false">M10</f>
        <v>951480</v>
      </c>
      <c r="AQ10" s="9" t="n">
        <f aca="false">Y10</f>
        <v>0</v>
      </c>
      <c r="AR10" s="9" t="n">
        <f aca="false">AK10</f>
        <v>0</v>
      </c>
      <c r="AS10" s="9" t="n">
        <f aca="false">AO10</f>
        <v>0</v>
      </c>
      <c r="AT10" s="17" t="s">
        <v>310</v>
      </c>
    </row>
    <row r="11" customFormat="false" ht="15" hidden="false" customHeight="false" outlineLevel="0" collapsed="false">
      <c r="A11" s="2" t="s">
        <v>311</v>
      </c>
      <c r="B11" s="10" t="s">
        <v>312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178764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  <c r="AA11" s="7" t="n">
        <v>0</v>
      </c>
      <c r="AB11" s="7" t="n">
        <v>0</v>
      </c>
      <c r="AC11" s="7" t="n">
        <v>0</v>
      </c>
      <c r="AD11" s="7" t="n">
        <v>0</v>
      </c>
      <c r="AE11" s="7" t="n">
        <v>0</v>
      </c>
      <c r="AF11" s="7" t="n">
        <v>0</v>
      </c>
      <c r="AG11" s="7" t="n">
        <v>0</v>
      </c>
      <c r="AH11" s="7" t="n">
        <v>0</v>
      </c>
      <c r="AI11" s="7" t="n">
        <v>0</v>
      </c>
      <c r="AJ11" s="7" t="n">
        <v>0</v>
      </c>
      <c r="AK11" s="7" t="n">
        <v>0</v>
      </c>
      <c r="AL11" s="7" t="n">
        <v>0</v>
      </c>
      <c r="AM11" s="7" t="n">
        <v>0</v>
      </c>
      <c r="AN11" s="7" t="n">
        <v>0</v>
      </c>
      <c r="AO11" s="7" t="n">
        <v>0</v>
      </c>
      <c r="AP11" s="9" t="n">
        <f aca="false">M11</f>
        <v>0</v>
      </c>
      <c r="AQ11" s="9" t="n">
        <f aca="false">Y11</f>
        <v>0</v>
      </c>
      <c r="AR11" s="9" t="n">
        <f aca="false">AK11</f>
        <v>0</v>
      </c>
      <c r="AS11" s="9" t="n">
        <f aca="false">AO11</f>
        <v>0</v>
      </c>
      <c r="AT11" s="2" t="s">
        <v>313</v>
      </c>
    </row>
    <row r="12" customFormat="false" ht="15" hidden="false" customHeight="false" outlineLevel="0" collapsed="false">
      <c r="A12" s="18" t="s">
        <v>314</v>
      </c>
      <c r="B12" s="29"/>
      <c r="C12" s="19"/>
      <c r="D12" s="19"/>
      <c r="E12" s="19"/>
      <c r="F12" s="20" t="n">
        <f aca="false">SUM(F13:F15)</f>
        <v>0</v>
      </c>
      <c r="G12" s="20" t="n">
        <f aca="false">SUM(G13:G15)</f>
        <v>0</v>
      </c>
      <c r="H12" s="20" t="n">
        <f aca="false">SUM(H13:H15)</f>
        <v>0</v>
      </c>
      <c r="I12" s="20" t="n">
        <f aca="false">SUM(I13:I15)</f>
        <v>0</v>
      </c>
      <c r="J12" s="20" t="n">
        <f aca="false">SUM(J13:J15)</f>
        <v>0</v>
      </c>
      <c r="K12" s="20" t="n">
        <f aca="false">SUM(K13:K15)</f>
        <v>0</v>
      </c>
      <c r="L12" s="20" t="n">
        <f aca="false">SUM(L13:L15)</f>
        <v>0</v>
      </c>
      <c r="M12" s="20" t="n">
        <f aca="false">SUM(M13:M15)</f>
        <v>0</v>
      </c>
      <c r="N12" s="20" t="n">
        <f aca="false">SUM(N13:N15)</f>
        <v>5000000</v>
      </c>
      <c r="O12" s="20" t="n">
        <f aca="false">SUM(O13:O15)</f>
        <v>7916667</v>
      </c>
      <c r="P12" s="20" t="n">
        <f aca="false">SUM(P13:P15)</f>
        <v>7808334</v>
      </c>
      <c r="Q12" s="20" t="n">
        <f aca="false">SUM(Q13:Q15)</f>
        <v>12100001</v>
      </c>
      <c r="R12" s="20" t="n">
        <f aca="false">SUM(R13:R15)</f>
        <v>11918334</v>
      </c>
      <c r="S12" s="20" t="n">
        <f aca="false">SUM(S13:S15)</f>
        <v>11736667</v>
      </c>
      <c r="T12" s="20" t="n">
        <f aca="false">SUM(T13:T15)</f>
        <v>13755000</v>
      </c>
      <c r="U12" s="20" t="n">
        <f aca="false">SUM(U13:U15)</f>
        <v>13536667</v>
      </c>
      <c r="V12" s="20" t="n">
        <f aca="false">SUM(V13:V15)</f>
        <v>13318334</v>
      </c>
      <c r="W12" s="20" t="n">
        <f aca="false">SUM(W13:W15)</f>
        <v>13100001</v>
      </c>
      <c r="X12" s="20" t="n">
        <f aca="false">SUM(X13:X15)</f>
        <v>12881668</v>
      </c>
      <c r="Y12" s="20" t="n">
        <f aca="false">SUM(Y13:Y15)</f>
        <v>51663335</v>
      </c>
      <c r="Z12" s="20" t="n">
        <f aca="false">SUM(Z13:Z15)</f>
        <v>51295002</v>
      </c>
      <c r="AA12" s="20" t="n">
        <f aca="false">SUM(AA13:AA15)</f>
        <v>50926669</v>
      </c>
      <c r="AB12" s="20" t="n">
        <f aca="false">SUM(AB13:AB15)</f>
        <v>52758336</v>
      </c>
      <c r="AC12" s="20" t="n">
        <f aca="false">SUM(AC13:AC15)</f>
        <v>52353336</v>
      </c>
      <c r="AD12" s="20" t="n">
        <f aca="false">SUM(AD13:AD15)</f>
        <v>55948336</v>
      </c>
      <c r="AE12" s="20" t="n">
        <f aca="false">SUM(AE13:AE15)</f>
        <v>55510003</v>
      </c>
      <c r="AF12" s="20" t="n">
        <f aca="false">SUM(AF13:AF15)</f>
        <v>55071670</v>
      </c>
      <c r="AG12" s="20" t="n">
        <f aca="false">SUM(AG13:AG15)</f>
        <v>54633337</v>
      </c>
      <c r="AH12" s="20" t="n">
        <f aca="false">SUM(AH13:AH15)</f>
        <v>56595004</v>
      </c>
      <c r="AI12" s="20" t="n">
        <f aca="false">SUM(AI13:AI15)</f>
        <v>56116671</v>
      </c>
      <c r="AJ12" s="20" t="n">
        <f aca="false">SUM(AJ13:AJ15)</f>
        <v>55638338</v>
      </c>
      <c r="AK12" s="20" t="n">
        <f aca="false">SUM(AK13:AK15)</f>
        <v>55160005</v>
      </c>
      <c r="AL12" s="20" t="n">
        <f aca="false">SUM(AL13:AL15)</f>
        <v>54681672</v>
      </c>
      <c r="AM12" s="20" t="n">
        <f aca="false">SUM(AM13:AM15)</f>
        <v>54203339</v>
      </c>
      <c r="AN12" s="20" t="n">
        <f aca="false">SUM(AN13:AN15)</f>
        <v>53725006</v>
      </c>
      <c r="AO12" s="20" t="n">
        <f aca="false">SUM(AO13:AO15)</f>
        <v>53246673</v>
      </c>
      <c r="AP12" s="20" t="n">
        <f aca="false">M12</f>
        <v>0</v>
      </c>
      <c r="AQ12" s="20" t="n">
        <f aca="false">Y12</f>
        <v>51663335</v>
      </c>
      <c r="AR12" s="20" t="n">
        <f aca="false">AK12</f>
        <v>55160005</v>
      </c>
      <c r="AS12" s="20" t="n">
        <f aca="false">AO12</f>
        <v>53246673</v>
      </c>
      <c r="AT12" s="17" t="s">
        <v>315</v>
      </c>
    </row>
    <row r="13" customFormat="false" ht="15" hidden="false" customHeight="false" outlineLevel="0" collapsed="false">
      <c r="A13" s="30" t="s">
        <v>316</v>
      </c>
      <c r="B13" s="10" t="s">
        <v>317</v>
      </c>
      <c r="F13" s="9" t="n">
        <f aca="false">0-'현금흐름표(CF)'!F23-'판관비(SG&amp;A)'!F11</f>
        <v>0</v>
      </c>
      <c r="G13" s="9" t="n">
        <f aca="false">F13-'현금흐름표(CF)'!G23-'판관비(SG&amp;A)'!G11</f>
        <v>0</v>
      </c>
      <c r="H13" s="9" t="n">
        <f aca="false">G13-'현금흐름표(CF)'!H23-'판관비(SG&amp;A)'!H11</f>
        <v>0</v>
      </c>
      <c r="I13" s="9" t="n">
        <f aca="false">H13-'현금흐름표(CF)'!I23-'판관비(SG&amp;A)'!I11</f>
        <v>0</v>
      </c>
      <c r="J13" s="9" t="n">
        <f aca="false">I13-'현금흐름표(CF)'!J23-'판관비(SG&amp;A)'!J11</f>
        <v>0</v>
      </c>
      <c r="K13" s="9" t="n">
        <f aca="false">J13-'현금흐름표(CF)'!K23-'판관비(SG&amp;A)'!K11</f>
        <v>0</v>
      </c>
      <c r="L13" s="9" t="n">
        <f aca="false">K13-'현금흐름표(CF)'!L23-'판관비(SG&amp;A)'!L11</f>
        <v>0</v>
      </c>
      <c r="M13" s="9" t="n">
        <f aca="false">L13-'현금흐름표(CF)'!M23-'판관비(SG&amp;A)'!M11</f>
        <v>0</v>
      </c>
      <c r="N13" s="9" t="n">
        <f aca="false">M13-'현금흐름표(CF)'!N23-'판관비(SG&amp;A)'!N11</f>
        <v>5000000</v>
      </c>
      <c r="O13" s="9" t="n">
        <f aca="false">N13-'현금흐름표(CF)'!O23-'판관비(SG&amp;A)'!O11</f>
        <v>4916667</v>
      </c>
      <c r="P13" s="9" t="n">
        <f aca="false">O13-'현금흐름표(CF)'!P23-'판관비(SG&amp;A)'!P11</f>
        <v>4833334</v>
      </c>
      <c r="Q13" s="9" t="n">
        <f aca="false">P13-'현금흐름표(CF)'!Q23-'판관비(SG&amp;A)'!Q11</f>
        <v>9150001</v>
      </c>
      <c r="R13" s="9" t="n">
        <f aca="false">Q13-'현금흐름표(CF)'!R23-'판관비(SG&amp;A)'!R11</f>
        <v>8993334</v>
      </c>
      <c r="S13" s="9" t="n">
        <f aca="false">R13-'현금흐름표(CF)'!S23-'판관비(SG&amp;A)'!S11</f>
        <v>8836667</v>
      </c>
      <c r="T13" s="9" t="n">
        <f aca="false">S13-'현금흐름표(CF)'!T23-'판관비(SG&amp;A)'!T11</f>
        <v>10880000</v>
      </c>
      <c r="U13" s="9" t="n">
        <f aca="false">T13-'현금흐름표(CF)'!U23-'판관비(SG&amp;A)'!U11</f>
        <v>10686667</v>
      </c>
      <c r="V13" s="9" t="n">
        <f aca="false">U13-'현금흐름표(CF)'!V23-'판관비(SG&amp;A)'!V11</f>
        <v>10493334</v>
      </c>
      <c r="W13" s="9" t="n">
        <f aca="false">V13-'현금흐름표(CF)'!W23-'판관비(SG&amp;A)'!W11</f>
        <v>10300001</v>
      </c>
      <c r="X13" s="9" t="n">
        <f aca="false">W13-'현금흐름표(CF)'!X23-'판관비(SG&amp;A)'!X11</f>
        <v>10106668</v>
      </c>
      <c r="Y13" s="9" t="n">
        <f aca="false">X13-'현금흐름표(CF)'!Y23-'판관비(SG&amp;A)'!Y11</f>
        <v>18913335</v>
      </c>
      <c r="Z13" s="9" t="n">
        <f aca="false">Y13-'현금흐름표(CF)'!Z23-'판관비(SG&amp;A)'!Z11</f>
        <v>18570002</v>
      </c>
      <c r="AA13" s="9" t="n">
        <f aca="false">Z13-'현금흐름표(CF)'!AA23-'판관비(SG&amp;A)'!AA11</f>
        <v>18226669</v>
      </c>
      <c r="AB13" s="9" t="n">
        <f aca="false">AA13-'현금흐름표(CF)'!AB23-'판관비(SG&amp;A)'!AB11</f>
        <v>20083336</v>
      </c>
      <c r="AC13" s="9" t="n">
        <f aca="false">AB13-'현금흐름표(CF)'!AC23-'판관비(SG&amp;A)'!AC11</f>
        <v>19703336</v>
      </c>
      <c r="AD13" s="9" t="n">
        <f aca="false">AC13-'현금흐름표(CF)'!AD23-'판관비(SG&amp;A)'!AD11</f>
        <v>19323336</v>
      </c>
      <c r="AE13" s="9" t="n">
        <f aca="false">AD13-'현금흐름표(CF)'!AE23-'판관비(SG&amp;A)'!AE11</f>
        <v>18943336</v>
      </c>
      <c r="AF13" s="9" t="n">
        <f aca="false">AE13-'현금흐름표(CF)'!AF23-'판관비(SG&amp;A)'!AF11</f>
        <v>18563336</v>
      </c>
      <c r="AG13" s="9" t="n">
        <f aca="false">AF13-'현금흐름표(CF)'!AG23-'판관비(SG&amp;A)'!AG11</f>
        <v>18183336</v>
      </c>
      <c r="AH13" s="9" t="n">
        <f aca="false">AG13-'현금흐름표(CF)'!AH23-'판관비(SG&amp;A)'!AH11</f>
        <v>20203336</v>
      </c>
      <c r="AI13" s="9" t="n">
        <f aca="false">AH13-'현금흐름표(CF)'!AI23-'판관비(SG&amp;A)'!AI11</f>
        <v>19783336</v>
      </c>
      <c r="AJ13" s="9" t="n">
        <f aca="false">AI13-'현금흐름표(CF)'!AJ23-'판관비(SG&amp;A)'!AJ11</f>
        <v>19363336</v>
      </c>
      <c r="AK13" s="9" t="n">
        <f aca="false">AJ13-'현금흐름표(CF)'!AK23-'판관비(SG&amp;A)'!AK11</f>
        <v>18943336</v>
      </c>
      <c r="AL13" s="9" t="n">
        <f aca="false">AK13-'현금흐름표(CF)'!AL23-'판관비(SG&amp;A)'!AL11</f>
        <v>18523336</v>
      </c>
      <c r="AM13" s="9" t="n">
        <f aca="false">AL13-'현금흐름표(CF)'!AM23-'판관비(SG&amp;A)'!AM11</f>
        <v>18103336</v>
      </c>
      <c r="AN13" s="9" t="n">
        <f aca="false">AM13-'현금흐름표(CF)'!AN23-'판관비(SG&amp;A)'!AN11</f>
        <v>17683336</v>
      </c>
      <c r="AO13" s="9" t="n">
        <f aca="false">AN13-'현금흐름표(CF)'!AO23-'판관비(SG&amp;A)'!AO11</f>
        <v>17263336</v>
      </c>
      <c r="AP13" s="9" t="n">
        <f aca="false">M13</f>
        <v>0</v>
      </c>
      <c r="AQ13" s="9" t="n">
        <f aca="false">Y13</f>
        <v>18913335</v>
      </c>
      <c r="AR13" s="9" t="n">
        <f aca="false">AK13</f>
        <v>18943336</v>
      </c>
      <c r="AS13" s="9" t="n">
        <f aca="false">AO13</f>
        <v>17263336</v>
      </c>
      <c r="AT13" s="17" t="s">
        <v>318</v>
      </c>
    </row>
    <row r="14" customFormat="false" ht="15" hidden="false" customHeight="false" outlineLevel="0" collapsed="false">
      <c r="A14" s="30" t="s">
        <v>319</v>
      </c>
      <c r="B14" s="10" t="s">
        <v>320</v>
      </c>
      <c r="F14" s="9" t="n">
        <f aca="false">0-'현금흐름표(CF)'!F24-'판관비(SG&amp;A)'!F12</f>
        <v>0</v>
      </c>
      <c r="G14" s="9" t="n">
        <f aca="false">F14-'현금흐름표(CF)'!G24-'판관비(SG&amp;A)'!G12</f>
        <v>0</v>
      </c>
      <c r="H14" s="9" t="n">
        <f aca="false">G14-'현금흐름표(CF)'!H24-'판관비(SG&amp;A)'!H12</f>
        <v>0</v>
      </c>
      <c r="I14" s="9" t="n">
        <f aca="false">H14-'현금흐름표(CF)'!I24-'판관비(SG&amp;A)'!I12</f>
        <v>0</v>
      </c>
      <c r="J14" s="9" t="n">
        <f aca="false">I14-'현금흐름표(CF)'!J24-'판관비(SG&amp;A)'!J12</f>
        <v>0</v>
      </c>
      <c r="K14" s="9" t="n">
        <f aca="false">J14-'현금흐름표(CF)'!K24-'판관비(SG&amp;A)'!K12</f>
        <v>0</v>
      </c>
      <c r="L14" s="9" t="n">
        <f aca="false">K14-'현금흐름표(CF)'!L24-'판관비(SG&amp;A)'!L12</f>
        <v>0</v>
      </c>
      <c r="M14" s="9" t="n">
        <f aca="false">L14-'현금흐름표(CF)'!M24-'판관비(SG&amp;A)'!M12</f>
        <v>0</v>
      </c>
      <c r="N14" s="9" t="n">
        <f aca="false">M14-'현금흐름표(CF)'!N24-'판관비(SG&amp;A)'!N12</f>
        <v>0</v>
      </c>
      <c r="O14" s="9" t="n">
        <f aca="false">N14-'현금흐름표(CF)'!O24-'판관비(SG&amp;A)'!O12</f>
        <v>3000000</v>
      </c>
      <c r="P14" s="9" t="n">
        <f aca="false">O14-'현금흐름표(CF)'!P24-'판관비(SG&amp;A)'!P12</f>
        <v>2975000</v>
      </c>
      <c r="Q14" s="9" t="n">
        <f aca="false">P14-'현금흐름표(CF)'!Q24-'판관비(SG&amp;A)'!Q12</f>
        <v>2950000</v>
      </c>
      <c r="R14" s="9" t="n">
        <f aca="false">Q14-'현금흐름표(CF)'!R24-'판관비(SG&amp;A)'!R12</f>
        <v>2925000</v>
      </c>
      <c r="S14" s="9" t="n">
        <f aca="false">R14-'현금흐름표(CF)'!S24-'판관비(SG&amp;A)'!S12</f>
        <v>2900000</v>
      </c>
      <c r="T14" s="9" t="n">
        <f aca="false">S14-'현금흐름표(CF)'!T24-'판관비(SG&amp;A)'!T12</f>
        <v>2875000</v>
      </c>
      <c r="U14" s="9" t="n">
        <f aca="false">T14-'현금흐름표(CF)'!U24-'판관비(SG&amp;A)'!U12</f>
        <v>2850000</v>
      </c>
      <c r="V14" s="9" t="n">
        <f aca="false">U14-'현금흐름표(CF)'!V24-'판관비(SG&amp;A)'!V12</f>
        <v>2825000</v>
      </c>
      <c r="W14" s="9" t="n">
        <f aca="false">V14-'현금흐름표(CF)'!W24-'판관비(SG&amp;A)'!W12</f>
        <v>2800000</v>
      </c>
      <c r="X14" s="9" t="n">
        <f aca="false">W14-'현금흐름표(CF)'!X24-'판관비(SG&amp;A)'!X12</f>
        <v>2775000</v>
      </c>
      <c r="Y14" s="9" t="n">
        <f aca="false">X14-'현금흐름표(CF)'!Y24-'판관비(SG&amp;A)'!Y12</f>
        <v>2750000</v>
      </c>
      <c r="Z14" s="9" t="n">
        <f aca="false">Y14-'현금흐름표(CF)'!Z24-'판관비(SG&amp;A)'!Z12</f>
        <v>2725000</v>
      </c>
      <c r="AA14" s="9" t="n">
        <f aca="false">Z14-'현금흐름표(CF)'!AA24-'판관비(SG&amp;A)'!AA12</f>
        <v>2700000</v>
      </c>
      <c r="AB14" s="9" t="n">
        <f aca="false">AA14-'현금흐름표(CF)'!AB24-'판관비(SG&amp;A)'!AB12</f>
        <v>2675000</v>
      </c>
      <c r="AC14" s="9" t="n">
        <f aca="false">AB14-'현금흐름표(CF)'!AC24-'판관비(SG&amp;A)'!AC12</f>
        <v>2650000</v>
      </c>
      <c r="AD14" s="9" t="n">
        <f aca="false">AC14-'현금흐름표(CF)'!AD24-'판관비(SG&amp;A)'!AD12</f>
        <v>6625000</v>
      </c>
      <c r="AE14" s="9" t="n">
        <f aca="false">AD14-'현금흐름표(CF)'!AE24-'판관비(SG&amp;A)'!AE12</f>
        <v>6566667</v>
      </c>
      <c r="AF14" s="9" t="n">
        <f aca="false">AE14-'현금흐름표(CF)'!AF24-'판관비(SG&amp;A)'!AF12</f>
        <v>6508334</v>
      </c>
      <c r="AG14" s="9" t="n">
        <f aca="false">AF14-'현금흐름표(CF)'!AG24-'판관비(SG&amp;A)'!AG12</f>
        <v>6450001</v>
      </c>
      <c r="AH14" s="9" t="n">
        <f aca="false">AG14-'현금흐름표(CF)'!AH24-'판관비(SG&amp;A)'!AH12</f>
        <v>6391668</v>
      </c>
      <c r="AI14" s="9" t="n">
        <f aca="false">AH14-'현금흐름표(CF)'!AI24-'판관비(SG&amp;A)'!AI12</f>
        <v>6333335</v>
      </c>
      <c r="AJ14" s="9" t="n">
        <f aca="false">AI14-'현금흐름표(CF)'!AJ24-'판관비(SG&amp;A)'!AJ12</f>
        <v>6275002</v>
      </c>
      <c r="AK14" s="9" t="n">
        <f aca="false">AJ14-'현금흐름표(CF)'!AK24-'판관비(SG&amp;A)'!AK12</f>
        <v>6216669</v>
      </c>
      <c r="AL14" s="9" t="n">
        <f aca="false">AK14-'현금흐름표(CF)'!AL24-'판관비(SG&amp;A)'!AL12</f>
        <v>6158336</v>
      </c>
      <c r="AM14" s="9" t="n">
        <f aca="false">AL14-'현금흐름표(CF)'!AM24-'판관비(SG&amp;A)'!AM12</f>
        <v>6100003</v>
      </c>
      <c r="AN14" s="9" t="n">
        <f aca="false">AM14-'현금흐름표(CF)'!AN24-'판관비(SG&amp;A)'!AN12</f>
        <v>6041670</v>
      </c>
      <c r="AO14" s="9" t="n">
        <f aca="false">AN14-'현금흐름표(CF)'!AO24-'판관비(SG&amp;A)'!AO12</f>
        <v>5983337</v>
      </c>
      <c r="AP14" s="9" t="n">
        <f aca="false">M14</f>
        <v>0</v>
      </c>
      <c r="AQ14" s="9" t="n">
        <f aca="false">Y14</f>
        <v>2750000</v>
      </c>
      <c r="AR14" s="9" t="n">
        <f aca="false">AK14</f>
        <v>6216669</v>
      </c>
      <c r="AS14" s="9" t="n">
        <f aca="false">AO14</f>
        <v>5983337</v>
      </c>
      <c r="AT14" s="17" t="s">
        <v>321</v>
      </c>
    </row>
    <row r="15" customFormat="false" ht="15" hidden="false" customHeight="false" outlineLevel="0" collapsed="false">
      <c r="A15" s="30" t="s">
        <v>322</v>
      </c>
      <c r="B15" s="10" t="s">
        <v>323</v>
      </c>
      <c r="F15" s="9" t="n">
        <f aca="false">0-'현금흐름표(CF)'!F25</f>
        <v>0</v>
      </c>
      <c r="G15" s="9" t="n">
        <f aca="false">F15-'현금흐름표(CF)'!G25</f>
        <v>0</v>
      </c>
      <c r="H15" s="9" t="n">
        <f aca="false">G15-'현금흐름표(CF)'!H25</f>
        <v>0</v>
      </c>
      <c r="I15" s="9" t="n">
        <f aca="false">H15-'현금흐름표(CF)'!I25</f>
        <v>0</v>
      </c>
      <c r="J15" s="9" t="n">
        <f aca="false">I15-'현금흐름표(CF)'!J25</f>
        <v>0</v>
      </c>
      <c r="K15" s="9" t="n">
        <f aca="false">J15-'현금흐름표(CF)'!K25</f>
        <v>0</v>
      </c>
      <c r="L15" s="9" t="n">
        <f aca="false">K15-'현금흐름표(CF)'!L25</f>
        <v>0</v>
      </c>
      <c r="M15" s="9" t="n">
        <f aca="false">L15-'현금흐름표(CF)'!M25</f>
        <v>0</v>
      </c>
      <c r="N15" s="9" t="n">
        <f aca="false">M15-'현금흐름표(CF)'!N25</f>
        <v>0</v>
      </c>
      <c r="O15" s="9" t="n">
        <f aca="false">N15-'현금흐름표(CF)'!O25</f>
        <v>0</v>
      </c>
      <c r="P15" s="9" t="n">
        <f aca="false">O15-'현금흐름표(CF)'!P25</f>
        <v>0</v>
      </c>
      <c r="Q15" s="9" t="n">
        <f aca="false">P15-'현금흐름표(CF)'!Q25</f>
        <v>0</v>
      </c>
      <c r="R15" s="9" t="n">
        <f aca="false">Q15-'현금흐름표(CF)'!R25</f>
        <v>0</v>
      </c>
      <c r="S15" s="9" t="n">
        <f aca="false">R15-'현금흐름표(CF)'!S25</f>
        <v>0</v>
      </c>
      <c r="T15" s="9" t="n">
        <f aca="false">S15-'현금흐름표(CF)'!T25</f>
        <v>0</v>
      </c>
      <c r="U15" s="9" t="n">
        <f aca="false">T15-'현금흐름표(CF)'!U25</f>
        <v>0</v>
      </c>
      <c r="V15" s="9" t="n">
        <f aca="false">U15-'현금흐름표(CF)'!V25</f>
        <v>0</v>
      </c>
      <c r="W15" s="9" t="n">
        <f aca="false">V15-'현금흐름표(CF)'!W25</f>
        <v>0</v>
      </c>
      <c r="X15" s="9" t="n">
        <f aca="false">W15-'현금흐름표(CF)'!X25</f>
        <v>0</v>
      </c>
      <c r="Y15" s="9" t="n">
        <f aca="false">X15-'현금흐름표(CF)'!Y25</f>
        <v>30000000</v>
      </c>
      <c r="Z15" s="9" t="n">
        <f aca="false">Y15-'현금흐름표(CF)'!Z25</f>
        <v>30000000</v>
      </c>
      <c r="AA15" s="9" t="n">
        <f aca="false">Z15-'현금흐름표(CF)'!AA25</f>
        <v>30000000</v>
      </c>
      <c r="AB15" s="9" t="n">
        <f aca="false">AA15-'현금흐름표(CF)'!AB25</f>
        <v>30000000</v>
      </c>
      <c r="AC15" s="9" t="n">
        <f aca="false">AB15-'현금흐름표(CF)'!AC25</f>
        <v>30000000</v>
      </c>
      <c r="AD15" s="9" t="n">
        <f aca="false">AC15-'현금흐름표(CF)'!AD25</f>
        <v>30000000</v>
      </c>
      <c r="AE15" s="9" t="n">
        <f aca="false">AD15-'현금흐름표(CF)'!AE25</f>
        <v>30000000</v>
      </c>
      <c r="AF15" s="9" t="n">
        <f aca="false">AE15-'현금흐름표(CF)'!AF25</f>
        <v>30000000</v>
      </c>
      <c r="AG15" s="9" t="n">
        <f aca="false">AF15-'현금흐름표(CF)'!AG25</f>
        <v>30000000</v>
      </c>
      <c r="AH15" s="9" t="n">
        <f aca="false">AG15-'현금흐름표(CF)'!AH25</f>
        <v>30000000</v>
      </c>
      <c r="AI15" s="9" t="n">
        <f aca="false">AH15-'현금흐름표(CF)'!AI25</f>
        <v>30000000</v>
      </c>
      <c r="AJ15" s="9" t="n">
        <f aca="false">AI15-'현금흐름표(CF)'!AJ25</f>
        <v>30000000</v>
      </c>
      <c r="AK15" s="9" t="n">
        <f aca="false">AJ15-'현금흐름표(CF)'!AK25</f>
        <v>30000000</v>
      </c>
      <c r="AL15" s="9" t="n">
        <f aca="false">AK15-'현금흐름표(CF)'!AL25</f>
        <v>30000000</v>
      </c>
      <c r="AM15" s="9" t="n">
        <f aca="false">AL15-'현금흐름표(CF)'!AM25</f>
        <v>30000000</v>
      </c>
      <c r="AN15" s="9" t="n">
        <f aca="false">AM15-'현금흐름표(CF)'!AN25</f>
        <v>30000000</v>
      </c>
      <c r="AO15" s="9" t="n">
        <f aca="false">AN15-'현금흐름표(CF)'!AO25</f>
        <v>30000000</v>
      </c>
      <c r="AP15" s="9" t="n">
        <f aca="false">M15</f>
        <v>0</v>
      </c>
      <c r="AQ15" s="9" t="n">
        <f aca="false">Y15</f>
        <v>30000000</v>
      </c>
      <c r="AR15" s="9" t="n">
        <f aca="false">AK15</f>
        <v>30000000</v>
      </c>
      <c r="AS15" s="9" t="n">
        <f aca="false">AO15</f>
        <v>30000000</v>
      </c>
      <c r="AT15" s="17" t="s">
        <v>324</v>
      </c>
    </row>
    <row r="16" customFormat="false" ht="15" hidden="false" customHeight="false" outlineLevel="0" collapsed="false">
      <c r="A16" s="21" t="s">
        <v>21</v>
      </c>
      <c r="B16" s="25"/>
      <c r="C16" s="22"/>
      <c r="D16" s="22"/>
      <c r="E16" s="22"/>
      <c r="F16" s="23" t="n">
        <f aca="false">F6+F12</f>
        <v>5406951</v>
      </c>
      <c r="G16" s="23" t="n">
        <f aca="false">G6+G12</f>
        <v>3412471</v>
      </c>
      <c r="H16" s="23" t="n">
        <f aca="false">H6+H12</f>
        <v>1908191</v>
      </c>
      <c r="I16" s="23" t="n">
        <f aca="false">I6+I12</f>
        <v>1757083</v>
      </c>
      <c r="J16" s="23" t="n">
        <f aca="false">J6+J12</f>
        <v>638612</v>
      </c>
      <c r="K16" s="23" t="n">
        <f aca="false">K6+K12</f>
        <v>487198</v>
      </c>
      <c r="L16" s="23" t="n">
        <f aca="false">L6+L12</f>
        <v>198352731</v>
      </c>
      <c r="M16" s="23" t="n">
        <f aca="false">M6+M12</f>
        <v>199742022</v>
      </c>
      <c r="N16" s="23" t="n">
        <f aca="false">N6+N12</f>
        <v>180797344</v>
      </c>
      <c r="O16" s="23" t="n">
        <f aca="false">O6+O12</f>
        <v>168509755</v>
      </c>
      <c r="P16" s="23" t="n">
        <f aca="false">P6+P12</f>
        <v>180697925</v>
      </c>
      <c r="Q16" s="23" t="n">
        <f aca="false">Q6+Q12</f>
        <v>661105782</v>
      </c>
      <c r="R16" s="23" t="n">
        <f aca="false">R6+R12</f>
        <v>645378725</v>
      </c>
      <c r="S16" s="23" t="n">
        <f aca="false">S6+S12</f>
        <v>635825738</v>
      </c>
      <c r="T16" s="23" t="n">
        <f aca="false">T6+T12</f>
        <v>621293601</v>
      </c>
      <c r="U16" s="23" t="n">
        <f aca="false">U6+U12</f>
        <v>612921894</v>
      </c>
      <c r="V16" s="23" t="n">
        <f aca="false">V6+V12</f>
        <v>629154475</v>
      </c>
      <c r="W16" s="23" t="n">
        <f aca="false">W6+W12</f>
        <v>621737543</v>
      </c>
      <c r="X16" s="23" t="n">
        <f aca="false">X6+X12</f>
        <v>623227276</v>
      </c>
      <c r="Y16" s="23" t="n">
        <f aca="false">Y6+Y12</f>
        <v>621287383</v>
      </c>
      <c r="Z16" s="23" t="n">
        <f aca="false">Z6+Z12</f>
        <v>618499122</v>
      </c>
      <c r="AA16" s="23" t="n">
        <f aca="false">AA6+AA12</f>
        <v>619570685</v>
      </c>
      <c r="AB16" s="23" t="n">
        <f aca="false">AB6+AB12</f>
        <v>693535383</v>
      </c>
      <c r="AC16" s="23" t="n">
        <f aca="false">AC6+AC12</f>
        <v>688762884</v>
      </c>
      <c r="AD16" s="23" t="n">
        <f aca="false">AD6+AD12</f>
        <v>678636588</v>
      </c>
      <c r="AE16" s="23" t="n">
        <f aca="false">AE6+AE12</f>
        <v>675797142</v>
      </c>
      <c r="AF16" s="23" t="n">
        <f aca="false">AF6+AF12</f>
        <v>666628430</v>
      </c>
      <c r="AG16" s="23" t="n">
        <f aca="false">AG6+AG12</f>
        <v>676253425</v>
      </c>
      <c r="AH16" s="23" t="n">
        <f aca="false">AH6+AH12</f>
        <v>734551446</v>
      </c>
      <c r="AI16" s="23" t="n">
        <f aca="false">AI6+AI12</f>
        <v>730550170</v>
      </c>
      <c r="AJ16" s="23" t="n">
        <f aca="false">AJ6+AJ12</f>
        <v>713299209</v>
      </c>
      <c r="AK16" s="23" t="n">
        <f aca="false">AK6+AK12</f>
        <v>703965931</v>
      </c>
      <c r="AL16" s="23" t="n">
        <f aca="false">AL6+AL12</f>
        <v>690628061</v>
      </c>
      <c r="AM16" s="23" t="n">
        <f aca="false">AM6+AM12</f>
        <v>691862329</v>
      </c>
      <c r="AN16" s="23" t="n">
        <f aca="false">AN6+AN12</f>
        <v>767673624</v>
      </c>
      <c r="AO16" s="23" t="n">
        <f aca="false">AO6+AO12</f>
        <v>764890099</v>
      </c>
      <c r="AP16" s="23" t="n">
        <f aca="false">M16</f>
        <v>199742022</v>
      </c>
      <c r="AQ16" s="23" t="n">
        <f aca="false">Y16</f>
        <v>621287383</v>
      </c>
      <c r="AR16" s="23" t="n">
        <f aca="false">AK16</f>
        <v>703965931</v>
      </c>
      <c r="AS16" s="23" t="n">
        <f aca="false">AO16</f>
        <v>764890099</v>
      </c>
      <c r="AT16" s="2" t="s">
        <v>21</v>
      </c>
    </row>
    <row r="17" customFormat="false" ht="15" hidden="false" customHeight="false" outlineLevel="0" collapsed="false">
      <c r="A17" s="4" t="s">
        <v>325</v>
      </c>
    </row>
    <row r="18" customFormat="false" ht="15" hidden="false" customHeight="false" outlineLevel="0" collapsed="false">
      <c r="A18" s="18" t="s">
        <v>326</v>
      </c>
      <c r="B18" s="29"/>
      <c r="C18" s="19"/>
      <c r="D18" s="19"/>
      <c r="E18" s="19"/>
      <c r="F18" s="20" t="n">
        <f aca="false">SUM(F19:F26)</f>
        <v>2500000</v>
      </c>
      <c r="G18" s="20" t="n">
        <f aca="false">SUM(G19:G26)</f>
        <v>4120000</v>
      </c>
      <c r="H18" s="20" t="n">
        <f aca="false">SUM(H19:H26)</f>
        <v>5650000</v>
      </c>
      <c r="I18" s="20" t="n">
        <f aca="false">SUM(I19:I26)</f>
        <v>7180000</v>
      </c>
      <c r="J18" s="20" t="n">
        <f aca="false">SUM(J19:J26)</f>
        <v>8300000</v>
      </c>
      <c r="K18" s="20" t="n">
        <f aca="false">SUM(K19:K26)</f>
        <v>10670000</v>
      </c>
      <c r="L18" s="20" t="n">
        <f aca="false">SUM(L19:L26)</f>
        <v>9900000</v>
      </c>
      <c r="M18" s="20" t="n">
        <f aca="false">SUM(M19:M26)</f>
        <v>12768547</v>
      </c>
      <c r="N18" s="20" t="n">
        <f aca="false">SUM(N19:N26)</f>
        <v>8979588</v>
      </c>
      <c r="O18" s="20" t="n">
        <f aca="false">SUM(O19:O26)</f>
        <v>13744885</v>
      </c>
      <c r="P18" s="20" t="n">
        <f aca="false">SUM(P19:P26)</f>
        <v>41149396</v>
      </c>
      <c r="Q18" s="20" t="n">
        <f aca="false">SUM(Q19:Q26)</f>
        <v>41660640</v>
      </c>
      <c r="R18" s="20" t="n">
        <f aca="false">SUM(R19:R26)</f>
        <v>38794691</v>
      </c>
      <c r="S18" s="20" t="n">
        <f aca="false">SUM(S19:S26)</f>
        <v>41483008</v>
      </c>
      <c r="T18" s="20" t="n">
        <f aca="false">SUM(T19:T26)</f>
        <v>42041408</v>
      </c>
      <c r="U18" s="20" t="n">
        <f aca="false">SUM(U19:U26)</f>
        <v>48981020</v>
      </c>
      <c r="V18" s="20" t="n">
        <f aca="false">SUM(V19:V26)</f>
        <v>76848876</v>
      </c>
      <c r="W18" s="20" t="n">
        <f aca="false">SUM(W19:W26)</f>
        <v>69389734</v>
      </c>
      <c r="X18" s="20" t="n">
        <f aca="false">SUM(X19:X26)</f>
        <v>65038720</v>
      </c>
      <c r="Y18" s="20" t="n">
        <f aca="false">SUM(Y19:Y26)</f>
        <v>64677956</v>
      </c>
      <c r="Z18" s="20" t="n">
        <f aca="false">SUM(Z19:Z26)</f>
        <v>66794315</v>
      </c>
      <c r="AA18" s="20" t="n">
        <f aca="false">SUM(AA19:AA26)</f>
        <v>74454172</v>
      </c>
      <c r="AB18" s="20" t="n">
        <f aca="false">SUM(AB19:AB26)</f>
        <v>154295736</v>
      </c>
      <c r="AC18" s="20" t="n">
        <f aca="false">SUM(AC19:AC26)</f>
        <v>135621069</v>
      </c>
      <c r="AD18" s="20" t="n">
        <f aca="false">SUM(AD19:AD26)</f>
        <v>124681443</v>
      </c>
      <c r="AE18" s="20" t="n">
        <f aca="false">SUM(AE19:AE26)</f>
        <v>125047546</v>
      </c>
      <c r="AF18" s="20" t="n">
        <f aca="false">SUM(AF19:AF26)</f>
        <v>115480610</v>
      </c>
      <c r="AG18" s="20" t="n">
        <f aca="false">SUM(AG19:AG26)</f>
        <v>125105834</v>
      </c>
      <c r="AH18" s="20" t="n">
        <f aca="false">SUM(AH19:AH26)</f>
        <v>185301665</v>
      </c>
      <c r="AI18" s="20" t="n">
        <f aca="false">SUM(AI19:AI26)</f>
        <v>160279626</v>
      </c>
      <c r="AJ18" s="20" t="n">
        <f aca="false">SUM(AJ19:AJ26)</f>
        <v>145486123</v>
      </c>
      <c r="AK18" s="20" t="n">
        <f aca="false">SUM(AK19:AK26)</f>
        <v>139975530</v>
      </c>
      <c r="AL18" s="20" t="n">
        <f aca="false">SUM(AL19:AL26)</f>
        <v>129279852</v>
      </c>
      <c r="AM18" s="20" t="n">
        <f aca="false">SUM(AM19:AM26)</f>
        <v>136256531</v>
      </c>
      <c r="AN18" s="20" t="n">
        <f aca="false">SUM(AN19:AN26)</f>
        <v>214614622</v>
      </c>
      <c r="AO18" s="20" t="n">
        <f aca="false">SUM(AO19:AO26)</f>
        <v>185758237</v>
      </c>
      <c r="AP18" s="20" t="n">
        <f aca="false">M18</f>
        <v>12768547</v>
      </c>
      <c r="AQ18" s="20" t="n">
        <f aca="false">Y18</f>
        <v>64677956</v>
      </c>
      <c r="AR18" s="20" t="n">
        <f aca="false">AK18</f>
        <v>139975530</v>
      </c>
      <c r="AS18" s="20" t="n">
        <f aca="false">AO18</f>
        <v>185758237</v>
      </c>
      <c r="AT18" s="17" t="s">
        <v>327</v>
      </c>
    </row>
    <row r="19" customFormat="false" ht="15" hidden="false" customHeight="false" outlineLevel="0" collapsed="false">
      <c r="A19" s="2" t="s">
        <v>328</v>
      </c>
      <c r="B19" s="10" t="s">
        <v>329</v>
      </c>
      <c r="F19" s="7" t="n">
        <v>0</v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56354</v>
      </c>
      <c r="N19" s="7" t="n">
        <v>1670725</v>
      </c>
      <c r="O19" s="7" t="n">
        <v>2259618</v>
      </c>
      <c r="P19" s="7" t="n">
        <v>3231709</v>
      </c>
      <c r="Q19" s="7" t="n">
        <v>3646249</v>
      </c>
      <c r="R19" s="7" t="n">
        <v>3791488</v>
      </c>
      <c r="S19" s="7" t="n">
        <v>4145909</v>
      </c>
      <c r="T19" s="7" t="n">
        <v>4483982</v>
      </c>
      <c r="U19" s="7" t="n">
        <v>5258618</v>
      </c>
      <c r="V19" s="7" t="n">
        <v>6282020</v>
      </c>
      <c r="W19" s="7" t="n">
        <v>6763728</v>
      </c>
      <c r="X19" s="7" t="n">
        <v>6793023</v>
      </c>
      <c r="Y19" s="7" t="n">
        <v>6765049</v>
      </c>
      <c r="Z19" s="7" t="n">
        <v>7486453</v>
      </c>
      <c r="AA19" s="7" t="n">
        <v>8424361</v>
      </c>
      <c r="AB19" s="7" t="n">
        <v>9845437</v>
      </c>
      <c r="AC19" s="7" t="n">
        <v>10496303</v>
      </c>
      <c r="AD19" s="7" t="n">
        <v>10392978</v>
      </c>
      <c r="AE19" s="7" t="n">
        <v>10387882</v>
      </c>
      <c r="AF19" s="7" t="n">
        <v>10790910</v>
      </c>
      <c r="AG19" s="7" t="n">
        <v>11955995</v>
      </c>
      <c r="AH19" s="7" t="n">
        <v>13204862</v>
      </c>
      <c r="AI19" s="7" t="n">
        <v>13592835</v>
      </c>
      <c r="AJ19" s="7" t="n">
        <v>13170527</v>
      </c>
      <c r="AK19" s="7" t="n">
        <v>12679792</v>
      </c>
      <c r="AL19" s="7" t="n">
        <v>13108911</v>
      </c>
      <c r="AM19" s="7" t="n">
        <v>14075965</v>
      </c>
      <c r="AN19" s="7" t="n">
        <v>14778132</v>
      </c>
      <c r="AO19" s="7" t="n">
        <v>15227127</v>
      </c>
      <c r="AP19" s="9" t="n">
        <f aca="false">M19</f>
        <v>56354</v>
      </c>
      <c r="AQ19" s="9" t="n">
        <f aca="false">Y19</f>
        <v>6765049</v>
      </c>
      <c r="AR19" s="9" t="n">
        <f aca="false">AK19</f>
        <v>12679792</v>
      </c>
      <c r="AS19" s="9" t="n">
        <f aca="false">AO19</f>
        <v>15227127</v>
      </c>
      <c r="AT19" s="2" t="s">
        <v>330</v>
      </c>
    </row>
    <row r="20" customFormat="false" ht="15" hidden="false" customHeight="false" outlineLevel="0" collapsed="false">
      <c r="A20" s="2" t="s">
        <v>331</v>
      </c>
      <c r="B20" s="10" t="s">
        <v>332</v>
      </c>
      <c r="F20" s="7" t="n">
        <v>2500000</v>
      </c>
      <c r="G20" s="7" t="n">
        <v>4000000</v>
      </c>
      <c r="H20" s="7" t="n">
        <v>5500000</v>
      </c>
      <c r="I20" s="7" t="n">
        <v>7000000</v>
      </c>
      <c r="J20" s="7" t="n">
        <v>8000000</v>
      </c>
      <c r="K20" s="7" t="n">
        <v>9000000</v>
      </c>
      <c r="L20" s="7" t="n">
        <v>9500000</v>
      </c>
      <c r="M20" s="7" t="n">
        <v>9988590</v>
      </c>
      <c r="N20" s="7" t="n">
        <v>3445200</v>
      </c>
      <c r="O20" s="7" t="n">
        <v>5139200</v>
      </c>
      <c r="P20" s="7" t="n">
        <v>6816480</v>
      </c>
      <c r="Q20" s="7" t="n">
        <v>9236269</v>
      </c>
      <c r="R20" s="7" t="n">
        <v>4398406</v>
      </c>
      <c r="S20" s="7" t="n">
        <v>4365928</v>
      </c>
      <c r="T20" s="7" t="n">
        <v>4703546</v>
      </c>
      <c r="U20" s="7" t="n">
        <v>5950886</v>
      </c>
      <c r="V20" s="7" t="n">
        <v>6587301</v>
      </c>
      <c r="W20" s="7" t="n">
        <v>8660221</v>
      </c>
      <c r="X20" s="7" t="n">
        <v>6210736</v>
      </c>
      <c r="Y20" s="7" t="n">
        <v>6062543</v>
      </c>
      <c r="Z20" s="7" t="n">
        <v>9493883</v>
      </c>
      <c r="AA20" s="7" t="n">
        <v>10937988</v>
      </c>
      <c r="AB20" s="7" t="n">
        <v>13647939</v>
      </c>
      <c r="AC20" s="7" t="n">
        <v>14348609</v>
      </c>
      <c r="AD20" s="7" t="n">
        <v>9833785</v>
      </c>
      <c r="AE20" s="7" t="n">
        <v>9614183</v>
      </c>
      <c r="AF20" s="7" t="n">
        <v>10015458</v>
      </c>
      <c r="AG20" s="7" t="n">
        <v>11927928</v>
      </c>
      <c r="AH20" s="7" t="n">
        <v>13756026</v>
      </c>
      <c r="AI20" s="7" t="n">
        <v>15674660</v>
      </c>
      <c r="AJ20" s="7" t="n">
        <v>10431855</v>
      </c>
      <c r="AK20" s="7" t="n">
        <v>9795038</v>
      </c>
      <c r="AL20" s="7" t="n">
        <v>11111306</v>
      </c>
      <c r="AM20" s="7" t="n">
        <v>12865737</v>
      </c>
      <c r="AN20" s="7" t="n">
        <v>16186407</v>
      </c>
      <c r="AO20" s="7" t="n">
        <v>17522554</v>
      </c>
      <c r="AP20" s="9" t="n">
        <f aca="false">M20</f>
        <v>9988590</v>
      </c>
      <c r="AQ20" s="9" t="n">
        <f aca="false">Y20</f>
        <v>6062543</v>
      </c>
      <c r="AR20" s="9" t="n">
        <f aca="false">AK20</f>
        <v>9795038</v>
      </c>
      <c r="AS20" s="9" t="n">
        <f aca="false">AO20</f>
        <v>17522554</v>
      </c>
      <c r="AT20" s="2" t="s">
        <v>333</v>
      </c>
    </row>
    <row r="21" customFormat="false" ht="15" hidden="false" customHeight="false" outlineLevel="0" collapsed="false">
      <c r="A21" s="2" t="s">
        <v>334</v>
      </c>
      <c r="B21" s="10" t="s">
        <v>335</v>
      </c>
      <c r="F21" s="7" t="n">
        <v>0</v>
      </c>
      <c r="G21" s="7" t="n">
        <v>120000</v>
      </c>
      <c r="H21" s="7" t="n">
        <v>150000</v>
      </c>
      <c r="I21" s="7" t="n">
        <v>180000</v>
      </c>
      <c r="J21" s="7" t="n">
        <v>300000</v>
      </c>
      <c r="K21" s="7" t="n">
        <v>350000</v>
      </c>
      <c r="L21" s="7" t="n">
        <v>400000</v>
      </c>
      <c r="M21" s="7" t="n">
        <v>575420</v>
      </c>
      <c r="N21" s="7" t="n">
        <v>2354400</v>
      </c>
      <c r="O21" s="7" t="n">
        <v>2354400</v>
      </c>
      <c r="P21" s="7" t="n">
        <v>2354400</v>
      </c>
      <c r="Q21" s="7" t="n">
        <v>4142000</v>
      </c>
      <c r="R21" s="7" t="n">
        <v>4142000</v>
      </c>
      <c r="S21" s="7" t="n">
        <v>4142000</v>
      </c>
      <c r="T21" s="7" t="n">
        <v>5014000</v>
      </c>
      <c r="U21" s="7" t="n">
        <v>5014000</v>
      </c>
      <c r="V21" s="7" t="n">
        <v>5014000</v>
      </c>
      <c r="W21" s="7" t="n">
        <v>5014000</v>
      </c>
      <c r="X21" s="7" t="n">
        <v>5014000</v>
      </c>
      <c r="Y21" s="7" t="n">
        <v>5014000</v>
      </c>
      <c r="Z21" s="7" t="n">
        <v>5264700</v>
      </c>
      <c r="AA21" s="7" t="n">
        <v>5264700</v>
      </c>
      <c r="AB21" s="7" t="n">
        <v>6088740</v>
      </c>
      <c r="AC21" s="7" t="n">
        <v>6088740</v>
      </c>
      <c r="AD21" s="7" t="n">
        <v>6088740</v>
      </c>
      <c r="AE21" s="7" t="n">
        <v>6821220</v>
      </c>
      <c r="AF21" s="7" t="n">
        <v>6821220</v>
      </c>
      <c r="AG21" s="7" t="n">
        <v>6821220</v>
      </c>
      <c r="AH21" s="7" t="n">
        <v>7965720</v>
      </c>
      <c r="AI21" s="7" t="n">
        <v>7965720</v>
      </c>
      <c r="AJ21" s="7" t="n">
        <v>7965720</v>
      </c>
      <c r="AK21" s="7" t="n">
        <v>7965720</v>
      </c>
      <c r="AL21" s="7" t="n">
        <v>8364006</v>
      </c>
      <c r="AM21" s="7" t="n">
        <v>8364006</v>
      </c>
      <c r="AN21" s="7" t="n">
        <v>8364006</v>
      </c>
      <c r="AO21" s="7" t="n">
        <v>8364006</v>
      </c>
      <c r="AP21" s="9" t="n">
        <f aca="false">M21</f>
        <v>575420</v>
      </c>
      <c r="AQ21" s="9" t="n">
        <f aca="false">Y21</f>
        <v>5014000</v>
      </c>
      <c r="AR21" s="9" t="n">
        <f aca="false">AK21</f>
        <v>7965720</v>
      </c>
      <c r="AS21" s="9" t="n">
        <f aca="false">AO21</f>
        <v>8364006</v>
      </c>
      <c r="AT21" s="2" t="s">
        <v>336</v>
      </c>
    </row>
    <row r="22" customFormat="false" ht="15" hidden="false" customHeight="false" outlineLevel="0" collapsed="false">
      <c r="A22" s="2" t="s">
        <v>337</v>
      </c>
      <c r="B22" s="10" t="s">
        <v>338</v>
      </c>
      <c r="F22" s="7" t="n">
        <v>0</v>
      </c>
      <c r="G22" s="7" t="n">
        <v>0</v>
      </c>
      <c r="H22" s="7" t="n">
        <v>0</v>
      </c>
      <c r="I22" s="7" t="n">
        <v>0</v>
      </c>
      <c r="J22" s="7" t="n">
        <v>0</v>
      </c>
      <c r="K22" s="7" t="n">
        <v>0</v>
      </c>
      <c r="L22" s="7" t="n">
        <v>0</v>
      </c>
      <c r="M22" s="7" t="n">
        <v>0</v>
      </c>
      <c r="N22" s="7" t="n">
        <v>0</v>
      </c>
      <c r="O22" s="7" t="n">
        <v>0</v>
      </c>
      <c r="P22" s="7" t="n">
        <v>3360000</v>
      </c>
      <c r="Q22" s="7" t="n">
        <v>3225600</v>
      </c>
      <c r="R22" s="7" t="n">
        <v>4059504</v>
      </c>
      <c r="S22" s="7" t="n">
        <v>4077462</v>
      </c>
      <c r="T22" s="7" t="n">
        <v>5184177</v>
      </c>
      <c r="U22" s="7" t="n">
        <v>7813119</v>
      </c>
      <c r="V22" s="7" t="n">
        <v>11041026</v>
      </c>
      <c r="W22" s="7" t="n">
        <v>9987205</v>
      </c>
      <c r="X22" s="7" t="n">
        <v>8470712</v>
      </c>
      <c r="Y22" s="7" t="n">
        <v>7451793</v>
      </c>
      <c r="Z22" s="7" t="n">
        <v>10095831</v>
      </c>
      <c r="AA22" s="7" t="n">
        <v>13002840</v>
      </c>
      <c r="AB22" s="7" t="n">
        <v>17439288</v>
      </c>
      <c r="AC22" s="7" t="n">
        <v>15752385</v>
      </c>
      <c r="AD22" s="7" t="n">
        <v>12450339</v>
      </c>
      <c r="AE22" s="7" t="n">
        <v>11663033</v>
      </c>
      <c r="AF22" s="7" t="n">
        <v>13827897</v>
      </c>
      <c r="AG22" s="7" t="n">
        <v>19431050</v>
      </c>
      <c r="AH22" s="7" t="n">
        <v>25598646</v>
      </c>
      <c r="AI22" s="7" t="n">
        <v>21583756</v>
      </c>
      <c r="AJ22" s="7" t="n">
        <v>17061517</v>
      </c>
      <c r="AK22" s="7" t="n">
        <v>13986592</v>
      </c>
      <c r="AL22" s="7" t="n">
        <v>18522245</v>
      </c>
      <c r="AM22" s="7" t="n">
        <v>23317448</v>
      </c>
      <c r="AN22" s="7" t="n">
        <v>30567054</v>
      </c>
      <c r="AO22" s="7" t="n">
        <v>26986342</v>
      </c>
      <c r="AP22" s="9" t="n">
        <f aca="false">M22</f>
        <v>0</v>
      </c>
      <c r="AQ22" s="9" t="n">
        <f aca="false">Y22</f>
        <v>7451793</v>
      </c>
      <c r="AR22" s="9" t="n">
        <f aca="false">AK22</f>
        <v>13986592</v>
      </c>
      <c r="AS22" s="9" t="n">
        <f aca="false">AO22</f>
        <v>26986342</v>
      </c>
      <c r="AT22" s="2" t="s">
        <v>339</v>
      </c>
    </row>
    <row r="23" customFormat="false" ht="15" hidden="false" customHeight="false" outlineLevel="0" collapsed="false">
      <c r="A23" s="2" t="s">
        <v>340</v>
      </c>
      <c r="B23" s="10" t="s">
        <v>341</v>
      </c>
      <c r="F23" s="7" t="n">
        <v>0</v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  <c r="N23" s="7" t="n">
        <v>0</v>
      </c>
      <c r="O23" s="7" t="n">
        <v>286592</v>
      </c>
      <c r="P23" s="7" t="n">
        <v>2749325</v>
      </c>
      <c r="Q23" s="7" t="n">
        <v>482866</v>
      </c>
      <c r="R23" s="7" t="n">
        <v>1505806</v>
      </c>
      <c r="S23" s="7" t="n">
        <v>2736567</v>
      </c>
      <c r="T23" s="7" t="n">
        <v>1120894</v>
      </c>
      <c r="U23" s="7" t="n">
        <v>2784061</v>
      </c>
      <c r="V23" s="7" t="n">
        <v>6896243</v>
      </c>
      <c r="W23" s="7" t="n">
        <v>2768638</v>
      </c>
      <c r="X23" s="7" t="n">
        <v>4704124</v>
      </c>
      <c r="Y23" s="7" t="n">
        <v>5871359</v>
      </c>
      <c r="Z23" s="7" t="n">
        <v>2067799</v>
      </c>
      <c r="AA23" s="7" t="n">
        <v>4428931</v>
      </c>
      <c r="AB23" s="7" t="n">
        <v>13419584</v>
      </c>
      <c r="AC23" s="7" t="n">
        <v>4072500</v>
      </c>
      <c r="AD23" s="7" t="n">
        <v>7027711</v>
      </c>
      <c r="AE23" s="7" t="n">
        <v>10311376</v>
      </c>
      <c r="AF23" s="7" t="n">
        <v>3421071</v>
      </c>
      <c r="AG23" s="7" t="n">
        <v>7385679</v>
      </c>
      <c r="AH23" s="7" t="n">
        <v>16388007</v>
      </c>
      <c r="AI23" s="7" t="n">
        <v>5857732</v>
      </c>
      <c r="AJ23" s="7" t="n">
        <v>10150850</v>
      </c>
      <c r="AK23" s="7" t="n">
        <v>14516508</v>
      </c>
      <c r="AL23" s="7" t="n">
        <v>4670145</v>
      </c>
      <c r="AM23" s="7" t="n">
        <v>9668492</v>
      </c>
      <c r="AN23" s="7" t="n">
        <v>21167873</v>
      </c>
      <c r="AO23" s="7" t="n">
        <v>7354425</v>
      </c>
      <c r="AP23" s="9" t="n">
        <f aca="false">M23</f>
        <v>0</v>
      </c>
      <c r="AQ23" s="9" t="n">
        <f aca="false">Y23</f>
        <v>5871359</v>
      </c>
      <c r="AR23" s="9" t="n">
        <f aca="false">AK23</f>
        <v>14516508</v>
      </c>
      <c r="AS23" s="9" t="n">
        <f aca="false">AO23</f>
        <v>7354425</v>
      </c>
      <c r="AT23" s="2" t="s">
        <v>342</v>
      </c>
    </row>
    <row r="24" customFormat="false" ht="15" hidden="false" customHeight="false" outlineLevel="0" collapsed="false">
      <c r="A24" s="2" t="s">
        <v>343</v>
      </c>
      <c r="B24" s="10" t="s">
        <v>344</v>
      </c>
      <c r="F24" s="7" t="n">
        <v>0</v>
      </c>
      <c r="G24" s="7" t="n">
        <v>0</v>
      </c>
      <c r="H24" s="7" t="n">
        <v>0</v>
      </c>
      <c r="I24" s="7" t="n">
        <v>0</v>
      </c>
      <c r="J24" s="7" t="n">
        <v>0</v>
      </c>
      <c r="K24" s="7" t="n">
        <v>0</v>
      </c>
      <c r="L24" s="7" t="n">
        <v>0</v>
      </c>
      <c r="M24" s="7" t="n">
        <v>0</v>
      </c>
      <c r="N24" s="7" t="n">
        <v>1509263</v>
      </c>
      <c r="O24" s="7" t="n">
        <v>3705075</v>
      </c>
      <c r="P24" s="7" t="n">
        <v>20137482</v>
      </c>
      <c r="Q24" s="7" t="n">
        <v>20927656</v>
      </c>
      <c r="R24" s="7" t="n">
        <v>20897487</v>
      </c>
      <c r="S24" s="7" t="n">
        <v>22015142</v>
      </c>
      <c r="T24" s="7" t="n">
        <v>21534809</v>
      </c>
      <c r="U24" s="7" t="n">
        <v>22160336</v>
      </c>
      <c r="V24" s="7" t="n">
        <v>37248286</v>
      </c>
      <c r="W24" s="7" t="n">
        <v>36195942</v>
      </c>
      <c r="X24" s="7" t="n">
        <v>33846125</v>
      </c>
      <c r="Y24" s="7" t="n">
        <v>33513212</v>
      </c>
      <c r="Z24" s="7" t="n">
        <v>32385649</v>
      </c>
      <c r="AA24" s="7" t="n">
        <v>32395352</v>
      </c>
      <c r="AB24" s="7" t="n">
        <v>88454748</v>
      </c>
      <c r="AC24" s="7" t="n">
        <v>84862532</v>
      </c>
      <c r="AD24" s="7" t="n">
        <v>78887890</v>
      </c>
      <c r="AE24" s="7" t="n">
        <v>76249852</v>
      </c>
      <c r="AF24" s="7" t="n">
        <v>70604054</v>
      </c>
      <c r="AG24" s="7" t="n">
        <v>67583962</v>
      </c>
      <c r="AH24" s="7" t="n">
        <v>101788404</v>
      </c>
      <c r="AI24" s="7" t="n">
        <v>95604923</v>
      </c>
      <c r="AJ24" s="7" t="n">
        <v>86705654</v>
      </c>
      <c r="AK24" s="7" t="n">
        <v>81031880</v>
      </c>
      <c r="AL24" s="7" t="n">
        <v>73503239</v>
      </c>
      <c r="AM24" s="7" t="n">
        <v>67964883</v>
      </c>
      <c r="AN24" s="7" t="n">
        <v>115231150</v>
      </c>
      <c r="AO24" s="7" t="n">
        <v>110303783</v>
      </c>
      <c r="AP24" s="9" t="n">
        <f aca="false">M24</f>
        <v>0</v>
      </c>
      <c r="AQ24" s="9" t="n">
        <f aca="false">Y24</f>
        <v>33513212</v>
      </c>
      <c r="AR24" s="9" t="n">
        <f aca="false">AK24</f>
        <v>81031880</v>
      </c>
      <c r="AS24" s="9" t="n">
        <f aca="false">AO24</f>
        <v>110303783</v>
      </c>
      <c r="AT24" s="2" t="s">
        <v>345</v>
      </c>
    </row>
    <row r="25" customFormat="false" ht="15" hidden="false" customHeight="false" outlineLevel="0" collapsed="false">
      <c r="A25" s="2" t="s">
        <v>346</v>
      </c>
      <c r="B25" s="10" t="s">
        <v>347</v>
      </c>
      <c r="F25" s="7" t="n">
        <v>0</v>
      </c>
      <c r="G25" s="7" t="n">
        <v>0</v>
      </c>
      <c r="H25" s="7" t="n">
        <v>0</v>
      </c>
      <c r="I25" s="7" t="n">
        <v>0</v>
      </c>
      <c r="J25" s="7" t="n">
        <v>0</v>
      </c>
      <c r="K25" s="7" t="n">
        <v>1320000</v>
      </c>
      <c r="L25" s="7" t="n">
        <v>0</v>
      </c>
      <c r="M25" s="7" t="n">
        <v>0</v>
      </c>
      <c r="N25" s="7" t="n">
        <v>0</v>
      </c>
      <c r="O25" s="7" t="n">
        <v>0</v>
      </c>
      <c r="P25" s="7" t="n">
        <v>2500000</v>
      </c>
      <c r="Q25" s="7" t="n">
        <v>0</v>
      </c>
      <c r="R25" s="7" t="n">
        <v>0</v>
      </c>
      <c r="S25" s="7" t="n">
        <v>0</v>
      </c>
      <c r="T25" s="7" t="n">
        <v>0</v>
      </c>
      <c r="U25" s="7" t="n">
        <v>0</v>
      </c>
      <c r="V25" s="7" t="n">
        <v>3780000</v>
      </c>
      <c r="W25" s="7" t="n">
        <v>0</v>
      </c>
      <c r="X25" s="7" t="n">
        <v>0</v>
      </c>
      <c r="Y25" s="7" t="n">
        <v>0</v>
      </c>
      <c r="Z25" s="7" t="n">
        <v>0</v>
      </c>
      <c r="AA25" s="7" t="n">
        <v>0</v>
      </c>
      <c r="AB25" s="7" t="n">
        <v>5400000</v>
      </c>
      <c r="AC25" s="7" t="n">
        <v>0</v>
      </c>
      <c r="AD25" s="7" t="n">
        <v>0</v>
      </c>
      <c r="AE25" s="7" t="n">
        <v>0</v>
      </c>
      <c r="AF25" s="7" t="n">
        <v>0</v>
      </c>
      <c r="AG25" s="7" t="n">
        <v>0</v>
      </c>
      <c r="AH25" s="7" t="n">
        <v>6600000</v>
      </c>
      <c r="AI25" s="7" t="n">
        <v>0</v>
      </c>
      <c r="AJ25" s="7" t="n">
        <v>0</v>
      </c>
      <c r="AK25" s="7" t="n">
        <v>0</v>
      </c>
      <c r="AL25" s="7" t="n">
        <v>0</v>
      </c>
      <c r="AM25" s="7" t="n">
        <v>0</v>
      </c>
      <c r="AN25" s="7" t="n">
        <v>8320000</v>
      </c>
      <c r="AO25" s="7" t="n">
        <v>0</v>
      </c>
      <c r="AP25" s="9" t="n">
        <f aca="false">M25</f>
        <v>0</v>
      </c>
      <c r="AQ25" s="9" t="n">
        <f aca="false">Y25</f>
        <v>0</v>
      </c>
      <c r="AR25" s="9" t="n">
        <f aca="false">AK25</f>
        <v>0</v>
      </c>
      <c r="AS25" s="9" t="n">
        <f aca="false">AO25</f>
        <v>0</v>
      </c>
      <c r="AT25" s="2" t="s">
        <v>348</v>
      </c>
    </row>
    <row r="26" customFormat="false" ht="15" hidden="false" customHeight="false" outlineLevel="0" collapsed="false">
      <c r="A26" s="2" t="s">
        <v>349</v>
      </c>
      <c r="B26" s="24" t="s">
        <v>350</v>
      </c>
      <c r="F26" s="7" t="n">
        <v>0</v>
      </c>
      <c r="G26" s="7" t="n">
        <v>0</v>
      </c>
      <c r="H26" s="7" t="n">
        <v>0</v>
      </c>
      <c r="I26" s="7" t="n">
        <v>0</v>
      </c>
      <c r="J26" s="7" t="n">
        <v>0</v>
      </c>
      <c r="K26" s="7" t="n">
        <v>0</v>
      </c>
      <c r="L26" s="7" t="n">
        <v>0</v>
      </c>
      <c r="M26" s="7" t="n">
        <v>2148183</v>
      </c>
      <c r="N26" s="7" t="n">
        <v>0</v>
      </c>
      <c r="O26" s="7" t="n">
        <v>0</v>
      </c>
      <c r="P26" s="7" t="n">
        <v>0</v>
      </c>
      <c r="Q26" s="7" t="n">
        <v>0</v>
      </c>
      <c r="R26" s="7" t="n">
        <v>0</v>
      </c>
      <c r="S26" s="7" t="n">
        <v>0</v>
      </c>
      <c r="T26" s="7" t="n">
        <v>0</v>
      </c>
      <c r="U26" s="7" t="n">
        <v>0</v>
      </c>
      <c r="V26" s="7" t="n">
        <v>0</v>
      </c>
      <c r="W26" s="7" t="n">
        <v>0</v>
      </c>
      <c r="X26" s="7" t="n">
        <v>0</v>
      </c>
      <c r="Y26" s="7" t="n">
        <v>0</v>
      </c>
      <c r="Z26" s="7" t="n">
        <v>0</v>
      </c>
      <c r="AA26" s="7" t="n">
        <v>0</v>
      </c>
      <c r="AB26" s="7" t="n">
        <v>0</v>
      </c>
      <c r="AC26" s="7" t="n">
        <v>0</v>
      </c>
      <c r="AD26" s="7" t="n">
        <v>0</v>
      </c>
      <c r="AE26" s="7" t="n">
        <v>0</v>
      </c>
      <c r="AF26" s="7" t="n">
        <v>0</v>
      </c>
      <c r="AG26" s="7" t="n">
        <v>0</v>
      </c>
      <c r="AH26" s="7" t="n">
        <v>0</v>
      </c>
      <c r="AI26" s="7" t="n">
        <v>0</v>
      </c>
      <c r="AJ26" s="7" t="n">
        <v>0</v>
      </c>
      <c r="AK26" s="7" t="n">
        <v>0</v>
      </c>
      <c r="AL26" s="7" t="n">
        <v>0</v>
      </c>
      <c r="AM26" s="7" t="n">
        <v>0</v>
      </c>
      <c r="AN26" s="7" t="n">
        <v>0</v>
      </c>
      <c r="AO26" s="7" t="n">
        <v>0</v>
      </c>
      <c r="AP26" s="9" t="n">
        <f aca="false">M26</f>
        <v>2148183</v>
      </c>
      <c r="AQ26" s="9" t="n">
        <f aca="false">Y26</f>
        <v>0</v>
      </c>
      <c r="AR26" s="9" t="n">
        <f aca="false">AK26</f>
        <v>0</v>
      </c>
      <c r="AS26" s="9" t="n">
        <f aca="false">AO26</f>
        <v>0</v>
      </c>
      <c r="AT26" s="2" t="s">
        <v>351</v>
      </c>
    </row>
    <row r="27" customFormat="false" ht="15" hidden="false" customHeight="false" outlineLevel="0" collapsed="false">
      <c r="A27" s="18" t="s">
        <v>352</v>
      </c>
      <c r="B27" s="29"/>
      <c r="C27" s="19"/>
      <c r="D27" s="19"/>
      <c r="E27" s="19"/>
      <c r="F27" s="20" t="n">
        <f aca="false">F28</f>
        <v>0</v>
      </c>
      <c r="G27" s="20" t="n">
        <f aca="false">G28</f>
        <v>0</v>
      </c>
      <c r="H27" s="20" t="n">
        <f aca="false">H28</f>
        <v>0</v>
      </c>
      <c r="I27" s="20" t="n">
        <f aca="false">I28</f>
        <v>0</v>
      </c>
      <c r="J27" s="20" t="n">
        <f aca="false">J28</f>
        <v>0</v>
      </c>
      <c r="K27" s="20" t="n">
        <f aca="false">K28</f>
        <v>0</v>
      </c>
      <c r="L27" s="20" t="n">
        <f aca="false">L28</f>
        <v>200000000</v>
      </c>
      <c r="M27" s="20" t="n">
        <f aca="false">M28</f>
        <v>200000000</v>
      </c>
      <c r="N27" s="20" t="n">
        <f aca="false">N28</f>
        <v>200000000</v>
      </c>
      <c r="O27" s="20" t="n">
        <f aca="false">O28</f>
        <v>200000000</v>
      </c>
      <c r="P27" s="20" t="n">
        <f aca="false">P28</f>
        <v>200000000</v>
      </c>
      <c r="Q27" s="20" t="n">
        <f aca="false">Q28</f>
        <v>200000000</v>
      </c>
      <c r="R27" s="20" t="n">
        <f aca="false">R28</f>
        <v>200000000</v>
      </c>
      <c r="S27" s="20" t="n">
        <f aca="false">S28</f>
        <v>200000000</v>
      </c>
      <c r="T27" s="20" t="n">
        <f aca="false">T28</f>
        <v>200000000</v>
      </c>
      <c r="U27" s="20" t="n">
        <f aca="false">U28</f>
        <v>200000000</v>
      </c>
      <c r="V27" s="20" t="n">
        <f aca="false">V28</f>
        <v>200000000</v>
      </c>
      <c r="W27" s="20" t="n">
        <f aca="false">W28</f>
        <v>200000000</v>
      </c>
      <c r="X27" s="20" t="n">
        <f aca="false">X28</f>
        <v>200000000</v>
      </c>
      <c r="Y27" s="20" t="n">
        <f aca="false">Y28</f>
        <v>200000000</v>
      </c>
      <c r="Z27" s="20" t="n">
        <f aca="false">Z28</f>
        <v>200000000</v>
      </c>
      <c r="AA27" s="20" t="n">
        <f aca="false">AA28</f>
        <v>200000000</v>
      </c>
      <c r="AB27" s="20" t="n">
        <f aca="false">AB28</f>
        <v>200000000</v>
      </c>
      <c r="AC27" s="20" t="n">
        <f aca="false">AC28</f>
        <v>200000000</v>
      </c>
      <c r="AD27" s="20" t="n">
        <f aca="false">AD28</f>
        <v>200000000</v>
      </c>
      <c r="AE27" s="20" t="n">
        <f aca="false">AE28</f>
        <v>200000000</v>
      </c>
      <c r="AF27" s="20" t="n">
        <f aca="false">AF28</f>
        <v>200000000</v>
      </c>
      <c r="AG27" s="20" t="n">
        <f aca="false">AG28</f>
        <v>200000000</v>
      </c>
      <c r="AH27" s="20" t="n">
        <f aca="false">AH28</f>
        <v>200000000</v>
      </c>
      <c r="AI27" s="20" t="n">
        <f aca="false">AI28</f>
        <v>200000000</v>
      </c>
      <c r="AJ27" s="20" t="n">
        <f aca="false">AJ28</f>
        <v>194444444</v>
      </c>
      <c r="AK27" s="20" t="n">
        <f aca="false">AK28</f>
        <v>188888888</v>
      </c>
      <c r="AL27" s="20" t="n">
        <f aca="false">AL28</f>
        <v>183333332</v>
      </c>
      <c r="AM27" s="20" t="n">
        <f aca="false">AM28</f>
        <v>177777776</v>
      </c>
      <c r="AN27" s="20" t="n">
        <f aca="false">AN28</f>
        <v>172222220</v>
      </c>
      <c r="AO27" s="20" t="n">
        <f aca="false">AO28</f>
        <v>166666664</v>
      </c>
      <c r="AP27" s="20" t="n">
        <f aca="false">M27</f>
        <v>200000000</v>
      </c>
      <c r="AQ27" s="20" t="n">
        <f aca="false">Y27</f>
        <v>200000000</v>
      </c>
      <c r="AR27" s="20" t="n">
        <f aca="false">AK27</f>
        <v>188888888</v>
      </c>
      <c r="AS27" s="20" t="n">
        <f aca="false">AO27</f>
        <v>166666664</v>
      </c>
      <c r="AT27" s="17" t="s">
        <v>353</v>
      </c>
    </row>
    <row r="28" customFormat="false" ht="15" hidden="false" customHeight="false" outlineLevel="0" collapsed="false">
      <c r="A28" s="30" t="s">
        <v>354</v>
      </c>
      <c r="B28" s="10" t="s">
        <v>355</v>
      </c>
      <c r="F28" s="9" t="n">
        <f aca="false">0+'현금흐름표(CF)'!F27+'현금흐름표(CF)'!F28</f>
        <v>0</v>
      </c>
      <c r="G28" s="9" t="n">
        <f aca="false">F28+'현금흐름표(CF)'!G27+'현금흐름표(CF)'!G28</f>
        <v>0</v>
      </c>
      <c r="H28" s="9" t="n">
        <f aca="false">G28+'현금흐름표(CF)'!H27+'현금흐름표(CF)'!H28</f>
        <v>0</v>
      </c>
      <c r="I28" s="9" t="n">
        <f aca="false">H28+'현금흐름표(CF)'!I27+'현금흐름표(CF)'!I28</f>
        <v>0</v>
      </c>
      <c r="J28" s="9" t="n">
        <f aca="false">I28+'현금흐름표(CF)'!J27+'현금흐름표(CF)'!J28</f>
        <v>0</v>
      </c>
      <c r="K28" s="9" t="n">
        <f aca="false">J28+'현금흐름표(CF)'!K27+'현금흐름표(CF)'!K28</f>
        <v>0</v>
      </c>
      <c r="L28" s="9" t="n">
        <f aca="false">K28+'현금흐름표(CF)'!L27+'현금흐름표(CF)'!L28</f>
        <v>200000000</v>
      </c>
      <c r="M28" s="9" t="n">
        <f aca="false">L28+'현금흐름표(CF)'!M27+'현금흐름표(CF)'!M28</f>
        <v>200000000</v>
      </c>
      <c r="N28" s="9" t="n">
        <f aca="false">M28+'현금흐름표(CF)'!N27+'현금흐름표(CF)'!N28</f>
        <v>200000000</v>
      </c>
      <c r="O28" s="9" t="n">
        <f aca="false">N28+'현금흐름표(CF)'!O27+'현금흐름표(CF)'!O28</f>
        <v>200000000</v>
      </c>
      <c r="P28" s="9" t="n">
        <f aca="false">O28+'현금흐름표(CF)'!P27+'현금흐름표(CF)'!P28</f>
        <v>200000000</v>
      </c>
      <c r="Q28" s="9" t="n">
        <f aca="false">P28+'현금흐름표(CF)'!Q27+'현금흐름표(CF)'!Q28</f>
        <v>200000000</v>
      </c>
      <c r="R28" s="9" t="n">
        <f aca="false">Q28+'현금흐름표(CF)'!R27+'현금흐름표(CF)'!R28</f>
        <v>200000000</v>
      </c>
      <c r="S28" s="9" t="n">
        <f aca="false">R28+'현금흐름표(CF)'!S27+'현금흐름표(CF)'!S28</f>
        <v>200000000</v>
      </c>
      <c r="T28" s="9" t="n">
        <f aca="false">S28+'현금흐름표(CF)'!T27+'현금흐름표(CF)'!T28</f>
        <v>200000000</v>
      </c>
      <c r="U28" s="9" t="n">
        <f aca="false">T28+'현금흐름표(CF)'!U27+'현금흐름표(CF)'!U28</f>
        <v>200000000</v>
      </c>
      <c r="V28" s="9" t="n">
        <f aca="false">U28+'현금흐름표(CF)'!V27+'현금흐름표(CF)'!V28</f>
        <v>200000000</v>
      </c>
      <c r="W28" s="9" t="n">
        <f aca="false">V28+'현금흐름표(CF)'!W27+'현금흐름표(CF)'!W28</f>
        <v>200000000</v>
      </c>
      <c r="X28" s="9" t="n">
        <f aca="false">W28+'현금흐름표(CF)'!X27+'현금흐름표(CF)'!X28</f>
        <v>200000000</v>
      </c>
      <c r="Y28" s="9" t="n">
        <f aca="false">X28+'현금흐름표(CF)'!Y27+'현금흐름표(CF)'!Y28</f>
        <v>200000000</v>
      </c>
      <c r="Z28" s="9" t="n">
        <f aca="false">Y28+'현금흐름표(CF)'!Z27+'현금흐름표(CF)'!Z28</f>
        <v>200000000</v>
      </c>
      <c r="AA28" s="9" t="n">
        <f aca="false">Z28+'현금흐름표(CF)'!AA27+'현금흐름표(CF)'!AA28</f>
        <v>200000000</v>
      </c>
      <c r="AB28" s="9" t="n">
        <f aca="false">AA28+'현금흐름표(CF)'!AB27+'현금흐름표(CF)'!AB28</f>
        <v>200000000</v>
      </c>
      <c r="AC28" s="9" t="n">
        <f aca="false">AB28+'현금흐름표(CF)'!AC27+'현금흐름표(CF)'!AC28</f>
        <v>200000000</v>
      </c>
      <c r="AD28" s="9" t="n">
        <f aca="false">AC28+'현금흐름표(CF)'!AD27+'현금흐름표(CF)'!AD28</f>
        <v>200000000</v>
      </c>
      <c r="AE28" s="9" t="n">
        <f aca="false">AD28+'현금흐름표(CF)'!AE27+'현금흐름표(CF)'!AE28</f>
        <v>200000000</v>
      </c>
      <c r="AF28" s="9" t="n">
        <f aca="false">AE28+'현금흐름표(CF)'!AF27+'현금흐름표(CF)'!AF28</f>
        <v>200000000</v>
      </c>
      <c r="AG28" s="9" t="n">
        <f aca="false">AF28+'현금흐름표(CF)'!AG27+'현금흐름표(CF)'!AG28</f>
        <v>200000000</v>
      </c>
      <c r="AH28" s="9" t="n">
        <f aca="false">AG28+'현금흐름표(CF)'!AH27+'현금흐름표(CF)'!AH28</f>
        <v>200000000</v>
      </c>
      <c r="AI28" s="9" t="n">
        <f aca="false">AH28+'현금흐름표(CF)'!AI27+'현금흐름표(CF)'!AI28</f>
        <v>200000000</v>
      </c>
      <c r="AJ28" s="9" t="n">
        <f aca="false">AI28+'현금흐름표(CF)'!AJ27+'현금흐름표(CF)'!AJ28</f>
        <v>194444444</v>
      </c>
      <c r="AK28" s="9" t="n">
        <f aca="false">AJ28+'현금흐름표(CF)'!AK27+'현금흐름표(CF)'!AK28</f>
        <v>188888888</v>
      </c>
      <c r="AL28" s="9" t="n">
        <f aca="false">AK28+'현금흐름표(CF)'!AL27+'현금흐름표(CF)'!AL28</f>
        <v>183333332</v>
      </c>
      <c r="AM28" s="9" t="n">
        <f aca="false">AL28+'현금흐름표(CF)'!AM27+'현금흐름표(CF)'!AM28</f>
        <v>177777776</v>
      </c>
      <c r="AN28" s="9" t="n">
        <f aca="false">AM28+'현금흐름표(CF)'!AN27+'현금흐름표(CF)'!AN28</f>
        <v>172222220</v>
      </c>
      <c r="AO28" s="9" t="n">
        <f aca="false">AN28+'현금흐름표(CF)'!AO27+'현금흐름표(CF)'!AO28</f>
        <v>166666664</v>
      </c>
      <c r="AP28" s="9" t="n">
        <f aca="false">M28</f>
        <v>200000000</v>
      </c>
      <c r="AQ28" s="9" t="n">
        <f aca="false">Y28</f>
        <v>200000000</v>
      </c>
      <c r="AR28" s="9" t="n">
        <f aca="false">AK28</f>
        <v>188888888</v>
      </c>
      <c r="AS28" s="9" t="n">
        <f aca="false">AO28</f>
        <v>166666664</v>
      </c>
      <c r="AT28" s="2" t="s">
        <v>356</v>
      </c>
    </row>
    <row r="29" customFormat="false" ht="15" hidden="false" customHeight="false" outlineLevel="0" collapsed="false">
      <c r="A29" s="21" t="s">
        <v>22</v>
      </c>
      <c r="B29" s="25"/>
      <c r="C29" s="22"/>
      <c r="D29" s="22"/>
      <c r="E29" s="22"/>
      <c r="F29" s="23" t="n">
        <f aca="false">F18+F27</f>
        <v>2500000</v>
      </c>
      <c r="G29" s="23" t="n">
        <f aca="false">G18+G27</f>
        <v>4120000</v>
      </c>
      <c r="H29" s="23" t="n">
        <f aca="false">H18+H27</f>
        <v>5650000</v>
      </c>
      <c r="I29" s="23" t="n">
        <f aca="false">I18+I27</f>
        <v>7180000</v>
      </c>
      <c r="J29" s="23" t="n">
        <f aca="false">J18+J27</f>
        <v>8300000</v>
      </c>
      <c r="K29" s="23" t="n">
        <f aca="false">K18+K27</f>
        <v>10670000</v>
      </c>
      <c r="L29" s="23" t="n">
        <f aca="false">L18+L27</f>
        <v>209900000</v>
      </c>
      <c r="M29" s="23" t="n">
        <f aca="false">M18+M27</f>
        <v>212768547</v>
      </c>
      <c r="N29" s="23" t="n">
        <f aca="false">N18+N27</f>
        <v>208979588</v>
      </c>
      <c r="O29" s="23" t="n">
        <f aca="false">O18+O27</f>
        <v>213744885</v>
      </c>
      <c r="P29" s="23" t="n">
        <f aca="false">P18+P27</f>
        <v>241149396</v>
      </c>
      <c r="Q29" s="23" t="n">
        <f aca="false">Q18+Q27</f>
        <v>241660640</v>
      </c>
      <c r="R29" s="23" t="n">
        <f aca="false">R18+R27</f>
        <v>238794691</v>
      </c>
      <c r="S29" s="23" t="n">
        <f aca="false">S18+S27</f>
        <v>241483008</v>
      </c>
      <c r="T29" s="23" t="n">
        <f aca="false">T18+T27</f>
        <v>242041408</v>
      </c>
      <c r="U29" s="23" t="n">
        <f aca="false">U18+U27</f>
        <v>248981020</v>
      </c>
      <c r="V29" s="23" t="n">
        <f aca="false">V18+V27</f>
        <v>276848876</v>
      </c>
      <c r="W29" s="23" t="n">
        <f aca="false">W18+W27</f>
        <v>269389734</v>
      </c>
      <c r="X29" s="23" t="n">
        <f aca="false">X18+X27</f>
        <v>265038720</v>
      </c>
      <c r="Y29" s="23" t="n">
        <f aca="false">Y18+Y27</f>
        <v>264677956</v>
      </c>
      <c r="Z29" s="23" t="n">
        <f aca="false">Z18+Z27</f>
        <v>266794315</v>
      </c>
      <c r="AA29" s="23" t="n">
        <f aca="false">AA18+AA27</f>
        <v>274454172</v>
      </c>
      <c r="AB29" s="23" t="n">
        <f aca="false">AB18+AB27</f>
        <v>354295736</v>
      </c>
      <c r="AC29" s="23" t="n">
        <f aca="false">AC18+AC27</f>
        <v>335621069</v>
      </c>
      <c r="AD29" s="23" t="n">
        <f aca="false">AD18+AD27</f>
        <v>324681443</v>
      </c>
      <c r="AE29" s="23" t="n">
        <f aca="false">AE18+AE27</f>
        <v>325047546</v>
      </c>
      <c r="AF29" s="23" t="n">
        <f aca="false">AF18+AF27</f>
        <v>315480610</v>
      </c>
      <c r="AG29" s="23" t="n">
        <f aca="false">AG18+AG27</f>
        <v>325105834</v>
      </c>
      <c r="AH29" s="23" t="n">
        <f aca="false">AH18+AH27</f>
        <v>385301665</v>
      </c>
      <c r="AI29" s="23" t="n">
        <f aca="false">AI18+AI27</f>
        <v>360279626</v>
      </c>
      <c r="AJ29" s="23" t="n">
        <f aca="false">AJ18+AJ27</f>
        <v>339930567</v>
      </c>
      <c r="AK29" s="23" t="n">
        <f aca="false">AK18+AK27</f>
        <v>328864418</v>
      </c>
      <c r="AL29" s="23" t="n">
        <f aca="false">AL18+AL27</f>
        <v>312613184</v>
      </c>
      <c r="AM29" s="23" t="n">
        <f aca="false">AM18+AM27</f>
        <v>314034307</v>
      </c>
      <c r="AN29" s="23" t="n">
        <f aca="false">AN18+AN27</f>
        <v>386836842</v>
      </c>
      <c r="AO29" s="23" t="n">
        <f aca="false">AO18+AO27</f>
        <v>352424901</v>
      </c>
      <c r="AP29" s="23" t="n">
        <f aca="false">M29</f>
        <v>212768547</v>
      </c>
      <c r="AQ29" s="23" t="n">
        <f aca="false">Y29</f>
        <v>264677956</v>
      </c>
      <c r="AR29" s="23" t="n">
        <f aca="false">AK29</f>
        <v>328864418</v>
      </c>
      <c r="AS29" s="23" t="n">
        <f aca="false">AO29</f>
        <v>352424901</v>
      </c>
      <c r="AT29" s="2" t="s">
        <v>22</v>
      </c>
    </row>
    <row r="30" customFormat="false" ht="15" hidden="false" customHeight="false" outlineLevel="0" collapsed="false">
      <c r="A30" s="4" t="s">
        <v>357</v>
      </c>
    </row>
    <row r="31" customFormat="false" ht="15" hidden="false" customHeight="false" outlineLevel="0" collapsed="false">
      <c r="A31" s="30" t="s">
        <v>358</v>
      </c>
      <c r="B31" s="10"/>
      <c r="F31" s="9" t="n">
        <f aca="false">0+'현금흐름표(CF)'!F29</f>
        <v>10000000</v>
      </c>
      <c r="G31" s="9" t="n">
        <f aca="false">F31+'현금흐름표(CF)'!G29</f>
        <v>10000000</v>
      </c>
      <c r="H31" s="9" t="n">
        <f aca="false">G31+'현금흐름표(CF)'!H29</f>
        <v>10000000</v>
      </c>
      <c r="I31" s="9" t="n">
        <f aca="false">H31+'현금흐름표(CF)'!I29</f>
        <v>10000000</v>
      </c>
      <c r="J31" s="9" t="n">
        <f aca="false">I31+'현금흐름표(CF)'!J29</f>
        <v>10000000</v>
      </c>
      <c r="K31" s="9" t="n">
        <f aca="false">J31+'현금흐름표(CF)'!K29</f>
        <v>10000000</v>
      </c>
      <c r="L31" s="9" t="n">
        <f aca="false">K31+'현금흐름표(CF)'!L29</f>
        <v>10000000</v>
      </c>
      <c r="M31" s="9" t="n">
        <f aca="false">L31+'현금흐름표(CF)'!M29</f>
        <v>10000000</v>
      </c>
      <c r="N31" s="9" t="n">
        <f aca="false">M31+'현금흐름표(CF)'!N29</f>
        <v>10000000</v>
      </c>
      <c r="O31" s="9" t="n">
        <f aca="false">N31+'현금흐름표(CF)'!O29</f>
        <v>10000000</v>
      </c>
      <c r="P31" s="9" t="n">
        <f aca="false">O31+'현금흐름표(CF)'!P29</f>
        <v>10000000</v>
      </c>
      <c r="Q31" s="9" t="n">
        <f aca="false">P31+'현금흐름표(CF)'!Q29</f>
        <v>11250000</v>
      </c>
      <c r="R31" s="9" t="n">
        <f aca="false">Q31+'현금흐름표(CF)'!R29</f>
        <v>11250000</v>
      </c>
      <c r="S31" s="9" t="n">
        <f aca="false">R31+'현금흐름표(CF)'!S29</f>
        <v>11250000</v>
      </c>
      <c r="T31" s="9" t="n">
        <f aca="false">S31+'현금흐름표(CF)'!T29</f>
        <v>11250000</v>
      </c>
      <c r="U31" s="9" t="n">
        <f aca="false">T31+'현금흐름표(CF)'!U29</f>
        <v>11250000</v>
      </c>
      <c r="V31" s="9" t="n">
        <f aca="false">U31+'현금흐름표(CF)'!V29</f>
        <v>11250000</v>
      </c>
      <c r="W31" s="9" t="n">
        <f aca="false">V31+'현금흐름표(CF)'!W29</f>
        <v>11250000</v>
      </c>
      <c r="X31" s="9" t="n">
        <f aca="false">W31+'현금흐름표(CF)'!X29</f>
        <v>11250000</v>
      </c>
      <c r="Y31" s="9" t="n">
        <f aca="false">X31+'현금흐름표(CF)'!Y29</f>
        <v>11250000</v>
      </c>
      <c r="Z31" s="9" t="n">
        <f aca="false">Y31+'현금흐름표(CF)'!Z29</f>
        <v>11250000</v>
      </c>
      <c r="AA31" s="9" t="n">
        <f aca="false">Z31+'현금흐름표(CF)'!AA29</f>
        <v>11250000</v>
      </c>
      <c r="AB31" s="9" t="n">
        <f aca="false">AA31+'현금흐름표(CF)'!AB29</f>
        <v>11250000</v>
      </c>
      <c r="AC31" s="9" t="n">
        <f aca="false">AB31+'현금흐름표(CF)'!AC29</f>
        <v>11250000</v>
      </c>
      <c r="AD31" s="9" t="n">
        <f aca="false">AC31+'현금흐름표(CF)'!AD29</f>
        <v>11250000</v>
      </c>
      <c r="AE31" s="9" t="n">
        <f aca="false">AD31+'현금흐름표(CF)'!AE29</f>
        <v>11250000</v>
      </c>
      <c r="AF31" s="9" t="n">
        <f aca="false">AE31+'현금흐름표(CF)'!AF29</f>
        <v>11250000</v>
      </c>
      <c r="AG31" s="9" t="n">
        <f aca="false">AF31+'현금흐름표(CF)'!AG29</f>
        <v>11250000</v>
      </c>
      <c r="AH31" s="9" t="n">
        <f aca="false">AG31+'현금흐름표(CF)'!AH29</f>
        <v>11250000</v>
      </c>
      <c r="AI31" s="9" t="n">
        <f aca="false">AH31+'현금흐름표(CF)'!AI29</f>
        <v>11250000</v>
      </c>
      <c r="AJ31" s="9" t="n">
        <f aca="false">AI31+'현금흐름표(CF)'!AJ29</f>
        <v>11250000</v>
      </c>
      <c r="AK31" s="9" t="n">
        <f aca="false">AJ31+'현금흐름표(CF)'!AK29</f>
        <v>11250000</v>
      </c>
      <c r="AL31" s="9" t="n">
        <f aca="false">AK31+'현금흐름표(CF)'!AL29</f>
        <v>11250000</v>
      </c>
      <c r="AM31" s="9" t="n">
        <f aca="false">AL31+'현금흐름표(CF)'!AM29</f>
        <v>11250000</v>
      </c>
      <c r="AN31" s="9" t="n">
        <f aca="false">AM31+'현금흐름표(CF)'!AN29</f>
        <v>11250000</v>
      </c>
      <c r="AO31" s="9" t="n">
        <f aca="false">AN31+'현금흐름표(CF)'!AO29</f>
        <v>11250000</v>
      </c>
      <c r="AP31" s="9" t="n">
        <f aca="false">M31</f>
        <v>10000000</v>
      </c>
      <c r="AQ31" s="9" t="n">
        <f aca="false">Y31</f>
        <v>11250000</v>
      </c>
      <c r="AR31" s="9" t="n">
        <f aca="false">AK31</f>
        <v>11250000</v>
      </c>
      <c r="AS31" s="9" t="n">
        <f aca="false">AO31</f>
        <v>11250000</v>
      </c>
      <c r="AT31" s="17" t="s">
        <v>359</v>
      </c>
    </row>
    <row r="32" customFormat="false" ht="15" hidden="false" customHeight="false" outlineLevel="0" collapsed="false">
      <c r="A32" s="30" t="s">
        <v>360</v>
      </c>
      <c r="B32" s="10"/>
      <c r="F32" s="9" t="n">
        <f aca="false">0+'현금흐름표(CF)'!F30</f>
        <v>0</v>
      </c>
      <c r="G32" s="9" t="n">
        <f aca="false">F32+'현금흐름표(CF)'!G30</f>
        <v>0</v>
      </c>
      <c r="H32" s="9" t="n">
        <f aca="false">G32+'현금흐름표(CF)'!H30</f>
        <v>0</v>
      </c>
      <c r="I32" s="9" t="n">
        <f aca="false">H32+'현금흐름표(CF)'!I30</f>
        <v>0</v>
      </c>
      <c r="J32" s="9" t="n">
        <f aca="false">I32+'현금흐름표(CF)'!J30</f>
        <v>0</v>
      </c>
      <c r="K32" s="9" t="n">
        <f aca="false">J32+'현금흐름표(CF)'!K30</f>
        <v>0</v>
      </c>
      <c r="L32" s="9" t="n">
        <f aca="false">K32+'현금흐름표(CF)'!L30</f>
        <v>0</v>
      </c>
      <c r="M32" s="9" t="n">
        <f aca="false">L32+'현금흐름표(CF)'!M30</f>
        <v>0</v>
      </c>
      <c r="N32" s="9" t="n">
        <f aca="false">M32+'현금흐름표(CF)'!N30</f>
        <v>0</v>
      </c>
      <c r="O32" s="9" t="n">
        <f aca="false">N32+'현금흐름표(CF)'!O30</f>
        <v>0</v>
      </c>
      <c r="P32" s="9" t="n">
        <f aca="false">O32+'현금흐름표(CF)'!P30</f>
        <v>0</v>
      </c>
      <c r="Q32" s="9" t="n">
        <f aca="false">P32+'현금흐름표(CF)'!Q30</f>
        <v>498750000</v>
      </c>
      <c r="R32" s="9" t="n">
        <f aca="false">Q32+'현금흐름표(CF)'!R30</f>
        <v>498750000</v>
      </c>
      <c r="S32" s="9" t="n">
        <f aca="false">R32+'현금흐름표(CF)'!S30</f>
        <v>498750000</v>
      </c>
      <c r="T32" s="9" t="n">
        <f aca="false">S32+'현금흐름표(CF)'!T30</f>
        <v>498750000</v>
      </c>
      <c r="U32" s="9" t="n">
        <f aca="false">T32+'현금흐름표(CF)'!U30</f>
        <v>498750000</v>
      </c>
      <c r="V32" s="9" t="n">
        <f aca="false">U32+'현금흐름표(CF)'!V30</f>
        <v>498750000</v>
      </c>
      <c r="W32" s="9" t="n">
        <f aca="false">V32+'현금흐름표(CF)'!W30</f>
        <v>498750000</v>
      </c>
      <c r="X32" s="9" t="n">
        <f aca="false">W32+'현금흐름표(CF)'!X30</f>
        <v>498750000</v>
      </c>
      <c r="Y32" s="9" t="n">
        <f aca="false">X32+'현금흐름표(CF)'!Y30</f>
        <v>498750000</v>
      </c>
      <c r="Z32" s="9" t="n">
        <f aca="false">Y32+'현금흐름표(CF)'!Z30</f>
        <v>498750000</v>
      </c>
      <c r="AA32" s="9" t="n">
        <f aca="false">Z32+'현금흐름표(CF)'!AA30</f>
        <v>498750000</v>
      </c>
      <c r="AB32" s="9" t="n">
        <f aca="false">AA32+'현금흐름표(CF)'!AB30</f>
        <v>498750000</v>
      </c>
      <c r="AC32" s="9" t="n">
        <f aca="false">AB32+'현금흐름표(CF)'!AC30</f>
        <v>498750000</v>
      </c>
      <c r="AD32" s="9" t="n">
        <f aca="false">AC32+'현금흐름표(CF)'!AD30</f>
        <v>498750000</v>
      </c>
      <c r="AE32" s="9" t="n">
        <f aca="false">AD32+'현금흐름표(CF)'!AE30</f>
        <v>498750000</v>
      </c>
      <c r="AF32" s="9" t="n">
        <f aca="false">AE32+'현금흐름표(CF)'!AF30</f>
        <v>498750000</v>
      </c>
      <c r="AG32" s="9" t="n">
        <f aca="false">AF32+'현금흐름표(CF)'!AG30</f>
        <v>498750000</v>
      </c>
      <c r="AH32" s="9" t="n">
        <f aca="false">AG32+'현금흐름표(CF)'!AH30</f>
        <v>498750000</v>
      </c>
      <c r="AI32" s="9" t="n">
        <f aca="false">AH32+'현금흐름표(CF)'!AI30</f>
        <v>498750000</v>
      </c>
      <c r="AJ32" s="9" t="n">
        <f aca="false">AI32+'현금흐름표(CF)'!AJ30</f>
        <v>498750000</v>
      </c>
      <c r="AK32" s="9" t="n">
        <f aca="false">AJ32+'현금흐름표(CF)'!AK30</f>
        <v>498750000</v>
      </c>
      <c r="AL32" s="9" t="n">
        <f aca="false">AK32+'현금흐름표(CF)'!AL30</f>
        <v>498750000</v>
      </c>
      <c r="AM32" s="9" t="n">
        <f aca="false">AL32+'현금흐름표(CF)'!AM30</f>
        <v>498750000</v>
      </c>
      <c r="AN32" s="9" t="n">
        <f aca="false">AM32+'현금흐름표(CF)'!AN30</f>
        <v>498750000</v>
      </c>
      <c r="AO32" s="9" t="n">
        <f aca="false">AN32+'현금흐름표(CF)'!AO30</f>
        <v>498750000</v>
      </c>
      <c r="AP32" s="9" t="n">
        <f aca="false">M32</f>
        <v>0</v>
      </c>
      <c r="AQ32" s="9" t="n">
        <f aca="false">Y32</f>
        <v>498750000</v>
      </c>
      <c r="AR32" s="9" t="n">
        <f aca="false">AK32</f>
        <v>498750000</v>
      </c>
      <c r="AS32" s="9" t="n">
        <f aca="false">AO32</f>
        <v>498750000</v>
      </c>
      <c r="AT32" s="17" t="s">
        <v>361</v>
      </c>
    </row>
    <row r="33" customFormat="false" ht="15" hidden="false" customHeight="false" outlineLevel="0" collapsed="false">
      <c r="A33" s="30" t="s">
        <v>362</v>
      </c>
      <c r="B33" s="10"/>
      <c r="F33" s="9" t="n">
        <f aca="false">0+'손익계산서(P&amp;L)'!F35</f>
        <v>-7093049</v>
      </c>
      <c r="G33" s="9" t="n">
        <f aca="false">F33+'손익계산서(P&amp;L)'!G35</f>
        <v>-10707529</v>
      </c>
      <c r="H33" s="9" t="n">
        <f aca="false">G33+'손익계산서(P&amp;L)'!H35</f>
        <v>-13741809</v>
      </c>
      <c r="I33" s="9" t="n">
        <f aca="false">H33+'손익계산서(P&amp;L)'!I35</f>
        <v>-15422917</v>
      </c>
      <c r="J33" s="9" t="n">
        <f aca="false">I33+'손익계산서(P&amp;L)'!J35</f>
        <v>-17661388</v>
      </c>
      <c r="K33" s="9" t="n">
        <f aca="false">J33+'손익계산서(P&amp;L)'!K35</f>
        <v>-20182802</v>
      </c>
      <c r="L33" s="9" t="n">
        <f aca="false">K33+'손익계산서(P&amp;L)'!L35</f>
        <v>-21547269</v>
      </c>
      <c r="M33" s="9" t="n">
        <f aca="false">L33+'손익계산서(P&amp;L)'!M35</f>
        <v>-23026525</v>
      </c>
      <c r="N33" s="9" t="n">
        <f aca="false">M33+'손익계산서(P&amp;L)'!N35</f>
        <v>-38182244</v>
      </c>
      <c r="O33" s="9" t="n">
        <f aca="false">N33+'손익계산서(P&amp;L)'!O35</f>
        <v>-55235130</v>
      </c>
      <c r="P33" s="9" t="n">
        <f aca="false">O33+'손익계산서(P&amp;L)'!P35</f>
        <v>-70451471</v>
      </c>
      <c r="Q33" s="9" t="n">
        <f aca="false">P33+'손익계산서(P&amp;L)'!Q35</f>
        <v>-90554858</v>
      </c>
      <c r="R33" s="9" t="n">
        <f aca="false">Q33+'손익계산서(P&amp;L)'!R35</f>
        <v>-103415966</v>
      </c>
      <c r="S33" s="9" t="n">
        <f aca="false">R33+'손익계산서(P&amp;L)'!S35</f>
        <v>-115657270</v>
      </c>
      <c r="T33" s="9" t="n">
        <f aca="false">S33+'손익계산서(P&amp;L)'!T35</f>
        <v>-130747807</v>
      </c>
      <c r="U33" s="9" t="n">
        <f aca="false">T33+'손익계산서(P&amp;L)'!U35</f>
        <v>-146059126</v>
      </c>
      <c r="V33" s="9" t="n">
        <f aca="false">U33+'손익계산서(P&amp;L)'!V35</f>
        <v>-157694401</v>
      </c>
      <c r="W33" s="9" t="n">
        <f aca="false">V33+'손익계산서(P&amp;L)'!W35</f>
        <v>-157652191</v>
      </c>
      <c r="X33" s="9" t="n">
        <f aca="false">W33+'손익계산서(P&amp;L)'!X35</f>
        <v>-151811444</v>
      </c>
      <c r="Y33" s="9" t="n">
        <f aca="false">X33+'손익계산서(P&amp;L)'!Y35</f>
        <v>-153390573</v>
      </c>
      <c r="Z33" s="9" t="n">
        <f aca="false">Y33+'손익계산서(P&amp;L)'!Z35</f>
        <v>-158295193</v>
      </c>
      <c r="AA33" s="9" t="n">
        <f aca="false">Z33+'손익계산서(P&amp;L)'!AA35</f>
        <v>-164883487</v>
      </c>
      <c r="AB33" s="9" t="n">
        <f aca="false">AA33+'손익계산서(P&amp;L)'!AB35</f>
        <v>-170760353</v>
      </c>
      <c r="AC33" s="9" t="n">
        <f aca="false">AB33+'손익계산서(P&amp;L)'!AC35</f>
        <v>-156858185</v>
      </c>
      <c r="AD33" s="9" t="n">
        <f aca="false">AC33+'손익계산서(P&amp;L)'!AD35</f>
        <v>-156044855</v>
      </c>
      <c r="AE33" s="9" t="n">
        <f aca="false">AD33+'손익계산서(P&amp;L)'!AE35</f>
        <v>-159250404</v>
      </c>
      <c r="AF33" s="9" t="n">
        <f aca="false">AE33+'손익계산서(P&amp;L)'!AF35</f>
        <v>-158852180</v>
      </c>
      <c r="AG33" s="9" t="n">
        <f aca="false">AF33+'손익계산서(P&amp;L)'!AG35</f>
        <v>-158852409</v>
      </c>
      <c r="AH33" s="9" t="n">
        <f aca="false">AG33+'손익계산서(P&amp;L)'!AH35</f>
        <v>-160750219</v>
      </c>
      <c r="AI33" s="9" t="n">
        <f aca="false">AH33+'손익계산서(P&amp;L)'!AI35</f>
        <v>-139729456</v>
      </c>
      <c r="AJ33" s="9" t="n">
        <f aca="false">AI33+'손익계산서(P&amp;L)'!AJ35</f>
        <v>-136631358</v>
      </c>
      <c r="AK33" s="9" t="n">
        <f aca="false">AJ33+'손익계산서(P&amp;L)'!AK35</f>
        <v>-134898487</v>
      </c>
      <c r="AL33" s="9" t="n">
        <f aca="false">AK33+'손익계산서(P&amp;L)'!AL35</f>
        <v>-131985123</v>
      </c>
      <c r="AM33" s="9" t="n">
        <f aca="false">AL33+'손익계산서(P&amp;L)'!AM35</f>
        <v>-132171978</v>
      </c>
      <c r="AN33" s="9" t="n">
        <f aca="false">AM33+'손익계산서(P&amp;L)'!AN35</f>
        <v>-129163218</v>
      </c>
      <c r="AO33" s="9" t="n">
        <f aca="false">AN33+'손익계산서(P&amp;L)'!AO35</f>
        <v>-97534802</v>
      </c>
      <c r="AP33" s="9" t="n">
        <f aca="false">M33</f>
        <v>-23026525</v>
      </c>
      <c r="AQ33" s="9" t="n">
        <f aca="false">Y33</f>
        <v>-153390573</v>
      </c>
      <c r="AR33" s="9" t="n">
        <f aca="false">AK33</f>
        <v>-134898487</v>
      </c>
      <c r="AS33" s="9" t="n">
        <f aca="false">AO33</f>
        <v>-97534802</v>
      </c>
      <c r="AT33" s="17" t="s">
        <v>363</v>
      </c>
    </row>
    <row r="34" customFormat="false" ht="15" hidden="false" customHeight="false" outlineLevel="0" collapsed="false">
      <c r="A34" s="21" t="s">
        <v>23</v>
      </c>
      <c r="B34" s="25"/>
      <c r="C34" s="22"/>
      <c r="D34" s="22"/>
      <c r="E34" s="22"/>
      <c r="F34" s="23" t="n">
        <f aca="false">SUM(F31:F33)</f>
        <v>2906951</v>
      </c>
      <c r="G34" s="23" t="n">
        <f aca="false">SUM(G31:G33)</f>
        <v>-707529</v>
      </c>
      <c r="H34" s="23" t="n">
        <f aca="false">SUM(H31:H33)</f>
        <v>-3741809</v>
      </c>
      <c r="I34" s="23" t="n">
        <f aca="false">SUM(I31:I33)</f>
        <v>-5422917</v>
      </c>
      <c r="J34" s="23" t="n">
        <f aca="false">SUM(J31:J33)</f>
        <v>-7661388</v>
      </c>
      <c r="K34" s="23" t="n">
        <f aca="false">SUM(K31:K33)</f>
        <v>-10182802</v>
      </c>
      <c r="L34" s="23" t="n">
        <f aca="false">SUM(L31:L33)</f>
        <v>-11547269</v>
      </c>
      <c r="M34" s="23" t="n">
        <f aca="false">SUM(M31:M33)</f>
        <v>-13026525</v>
      </c>
      <c r="N34" s="23" t="n">
        <f aca="false">SUM(N31:N33)</f>
        <v>-28182244</v>
      </c>
      <c r="O34" s="23" t="n">
        <f aca="false">SUM(O31:O33)</f>
        <v>-45235130</v>
      </c>
      <c r="P34" s="23" t="n">
        <f aca="false">SUM(P31:P33)</f>
        <v>-60451471</v>
      </c>
      <c r="Q34" s="23" t="n">
        <f aca="false">SUM(Q31:Q33)</f>
        <v>419445142</v>
      </c>
      <c r="R34" s="23" t="n">
        <f aca="false">SUM(R31:R33)</f>
        <v>406584034</v>
      </c>
      <c r="S34" s="23" t="n">
        <f aca="false">SUM(S31:S33)</f>
        <v>394342730</v>
      </c>
      <c r="T34" s="23" t="n">
        <f aca="false">SUM(T31:T33)</f>
        <v>379252193</v>
      </c>
      <c r="U34" s="23" t="n">
        <f aca="false">SUM(U31:U33)</f>
        <v>363940874</v>
      </c>
      <c r="V34" s="23" t="n">
        <f aca="false">SUM(V31:V33)</f>
        <v>352305599</v>
      </c>
      <c r="W34" s="23" t="n">
        <f aca="false">SUM(W31:W33)</f>
        <v>352347809</v>
      </c>
      <c r="X34" s="23" t="n">
        <f aca="false">SUM(X31:X33)</f>
        <v>358188556</v>
      </c>
      <c r="Y34" s="23" t="n">
        <f aca="false">SUM(Y31:Y33)</f>
        <v>356609427</v>
      </c>
      <c r="Z34" s="23" t="n">
        <f aca="false">SUM(Z31:Z33)</f>
        <v>351704807</v>
      </c>
      <c r="AA34" s="23" t="n">
        <f aca="false">SUM(AA31:AA33)</f>
        <v>345116513</v>
      </c>
      <c r="AB34" s="23" t="n">
        <f aca="false">SUM(AB31:AB33)</f>
        <v>339239647</v>
      </c>
      <c r="AC34" s="23" t="n">
        <f aca="false">SUM(AC31:AC33)</f>
        <v>353141815</v>
      </c>
      <c r="AD34" s="23" t="n">
        <f aca="false">SUM(AD31:AD33)</f>
        <v>353955145</v>
      </c>
      <c r="AE34" s="23" t="n">
        <f aca="false">SUM(AE31:AE33)</f>
        <v>350749596</v>
      </c>
      <c r="AF34" s="23" t="n">
        <f aca="false">SUM(AF31:AF33)</f>
        <v>351147820</v>
      </c>
      <c r="AG34" s="23" t="n">
        <f aca="false">SUM(AG31:AG33)</f>
        <v>351147591</v>
      </c>
      <c r="AH34" s="23" t="n">
        <f aca="false">SUM(AH31:AH33)</f>
        <v>349249781</v>
      </c>
      <c r="AI34" s="23" t="n">
        <f aca="false">SUM(AI31:AI33)</f>
        <v>370270544</v>
      </c>
      <c r="AJ34" s="23" t="n">
        <f aca="false">SUM(AJ31:AJ33)</f>
        <v>373368642</v>
      </c>
      <c r="AK34" s="23" t="n">
        <f aca="false">SUM(AK31:AK33)</f>
        <v>375101513</v>
      </c>
      <c r="AL34" s="23" t="n">
        <f aca="false">SUM(AL31:AL33)</f>
        <v>378014877</v>
      </c>
      <c r="AM34" s="23" t="n">
        <f aca="false">SUM(AM31:AM33)</f>
        <v>377828022</v>
      </c>
      <c r="AN34" s="23" t="n">
        <f aca="false">SUM(AN31:AN33)</f>
        <v>380836782</v>
      </c>
      <c r="AO34" s="23" t="n">
        <f aca="false">SUM(AO31:AO33)</f>
        <v>412465198</v>
      </c>
      <c r="AP34" s="23" t="n">
        <f aca="false">M34</f>
        <v>-13026525</v>
      </c>
      <c r="AQ34" s="23" t="n">
        <f aca="false">Y34</f>
        <v>356609427</v>
      </c>
      <c r="AR34" s="23" t="n">
        <f aca="false">AK34</f>
        <v>375101513</v>
      </c>
      <c r="AS34" s="23" t="n">
        <f aca="false">AO34</f>
        <v>412465198</v>
      </c>
      <c r="AT34" s="2" t="s">
        <v>23</v>
      </c>
    </row>
    <row r="35" customFormat="false" ht="15" hidden="false" customHeight="false" outlineLevel="0" collapsed="false">
      <c r="A35" s="3" t="s">
        <v>364</v>
      </c>
      <c r="B35" s="10"/>
      <c r="F35" s="32" t="n">
        <f aca="false">F29+F34</f>
        <v>5406951</v>
      </c>
      <c r="G35" s="32" t="n">
        <f aca="false">G29+G34</f>
        <v>3412471</v>
      </c>
      <c r="H35" s="32" t="n">
        <f aca="false">H29+H34</f>
        <v>1908191</v>
      </c>
      <c r="I35" s="32" t="n">
        <f aca="false">I29+I34</f>
        <v>1757083</v>
      </c>
      <c r="J35" s="32" t="n">
        <f aca="false">J29+J34</f>
        <v>638612</v>
      </c>
      <c r="K35" s="32" t="n">
        <f aca="false">K29+K34</f>
        <v>487198</v>
      </c>
      <c r="L35" s="32" t="n">
        <f aca="false">L29+L34</f>
        <v>198352731</v>
      </c>
      <c r="M35" s="32" t="n">
        <f aca="false">M29+M34</f>
        <v>199742022</v>
      </c>
      <c r="N35" s="32" t="n">
        <f aca="false">N29+N34</f>
        <v>180797344</v>
      </c>
      <c r="O35" s="32" t="n">
        <f aca="false">O29+O34</f>
        <v>168509755</v>
      </c>
      <c r="P35" s="32" t="n">
        <f aca="false">P29+P34</f>
        <v>180697925</v>
      </c>
      <c r="Q35" s="32" t="n">
        <f aca="false">Q29+Q34</f>
        <v>661105782</v>
      </c>
      <c r="R35" s="32" t="n">
        <f aca="false">R29+R34</f>
        <v>645378725</v>
      </c>
      <c r="S35" s="32" t="n">
        <f aca="false">S29+S34</f>
        <v>635825738</v>
      </c>
      <c r="T35" s="32" t="n">
        <f aca="false">T29+T34</f>
        <v>621293601</v>
      </c>
      <c r="U35" s="32" t="n">
        <f aca="false">U29+U34</f>
        <v>612921894</v>
      </c>
      <c r="V35" s="32" t="n">
        <f aca="false">V29+V34</f>
        <v>629154475</v>
      </c>
      <c r="W35" s="32" t="n">
        <f aca="false">W29+W34</f>
        <v>621737543</v>
      </c>
      <c r="X35" s="32" t="n">
        <f aca="false">X29+X34</f>
        <v>623227276</v>
      </c>
      <c r="Y35" s="32" t="n">
        <f aca="false">Y29+Y34</f>
        <v>621287383</v>
      </c>
      <c r="Z35" s="32" t="n">
        <f aca="false">Z29+Z34</f>
        <v>618499122</v>
      </c>
      <c r="AA35" s="32" t="n">
        <f aca="false">AA29+AA34</f>
        <v>619570685</v>
      </c>
      <c r="AB35" s="32" t="n">
        <f aca="false">AB29+AB34</f>
        <v>693535383</v>
      </c>
      <c r="AC35" s="32" t="n">
        <f aca="false">AC29+AC34</f>
        <v>688762884</v>
      </c>
      <c r="AD35" s="32" t="n">
        <f aca="false">AD29+AD34</f>
        <v>678636588</v>
      </c>
      <c r="AE35" s="32" t="n">
        <f aca="false">AE29+AE34</f>
        <v>675797142</v>
      </c>
      <c r="AF35" s="32" t="n">
        <f aca="false">AF29+AF34</f>
        <v>666628430</v>
      </c>
      <c r="AG35" s="32" t="n">
        <f aca="false">AG29+AG34</f>
        <v>676253425</v>
      </c>
      <c r="AH35" s="32" t="n">
        <f aca="false">AH29+AH34</f>
        <v>734551446</v>
      </c>
      <c r="AI35" s="32" t="n">
        <f aca="false">AI29+AI34</f>
        <v>730550170</v>
      </c>
      <c r="AJ35" s="32" t="n">
        <f aca="false">AJ29+AJ34</f>
        <v>713299209</v>
      </c>
      <c r="AK35" s="32" t="n">
        <f aca="false">AK29+AK34</f>
        <v>703965931</v>
      </c>
      <c r="AL35" s="32" t="n">
        <f aca="false">AL29+AL34</f>
        <v>690628061</v>
      </c>
      <c r="AM35" s="32" t="n">
        <f aca="false">AM29+AM34</f>
        <v>691862329</v>
      </c>
      <c r="AN35" s="32" t="n">
        <f aca="false">AN29+AN34</f>
        <v>767673624</v>
      </c>
      <c r="AO35" s="32" t="n">
        <f aca="false">AO29+AO34</f>
        <v>764890099</v>
      </c>
      <c r="AP35" s="32" t="n">
        <f aca="false">M35</f>
        <v>199742022</v>
      </c>
      <c r="AQ35" s="32" t="n">
        <f aca="false">Y35</f>
        <v>621287383</v>
      </c>
      <c r="AR35" s="32" t="n">
        <f aca="false">AK35</f>
        <v>703965931</v>
      </c>
      <c r="AS35" s="32" t="n">
        <f aca="false">AO35</f>
        <v>764890099</v>
      </c>
      <c r="AT35" s="2" t="s">
        <v>365</v>
      </c>
    </row>
    <row r="36" customFormat="false" ht="15" hidden="false" customHeight="false" outlineLevel="0" collapsed="false">
      <c r="A36" s="30" t="s">
        <v>366</v>
      </c>
      <c r="B36" s="10"/>
      <c r="F36" s="9" t="n">
        <f aca="false">F16-F35</f>
        <v>0</v>
      </c>
      <c r="G36" s="9" t="n">
        <f aca="false">G16-G35</f>
        <v>0</v>
      </c>
      <c r="H36" s="9" t="n">
        <f aca="false">H16-H35</f>
        <v>0</v>
      </c>
      <c r="I36" s="9" t="n">
        <f aca="false">I16-I35</f>
        <v>0</v>
      </c>
      <c r="J36" s="9" t="n">
        <f aca="false">J16-J35</f>
        <v>0</v>
      </c>
      <c r="K36" s="9" t="n">
        <f aca="false">K16-K35</f>
        <v>0</v>
      </c>
      <c r="L36" s="9" t="n">
        <f aca="false">L16-L35</f>
        <v>0</v>
      </c>
      <c r="M36" s="9" t="n">
        <f aca="false">M16-M35</f>
        <v>0</v>
      </c>
      <c r="N36" s="9" t="n">
        <f aca="false">N16-N35</f>
        <v>0</v>
      </c>
      <c r="O36" s="9" t="n">
        <f aca="false">O16-O35</f>
        <v>0</v>
      </c>
      <c r="P36" s="9" t="n">
        <f aca="false">P16-P35</f>
        <v>0</v>
      </c>
      <c r="Q36" s="9" t="n">
        <f aca="false">Q16-Q35</f>
        <v>0</v>
      </c>
      <c r="R36" s="9" t="n">
        <f aca="false">R16-R35</f>
        <v>0</v>
      </c>
      <c r="S36" s="9" t="n">
        <f aca="false">S16-S35</f>
        <v>0</v>
      </c>
      <c r="T36" s="9" t="n">
        <f aca="false">T16-T35</f>
        <v>0</v>
      </c>
      <c r="U36" s="9" t="n">
        <f aca="false">U16-U35</f>
        <v>0</v>
      </c>
      <c r="V36" s="9" t="n">
        <f aca="false">V16-V35</f>
        <v>0</v>
      </c>
      <c r="W36" s="9" t="n">
        <f aca="false">W16-W35</f>
        <v>0</v>
      </c>
      <c r="X36" s="9" t="n">
        <f aca="false">X16-X35</f>
        <v>0</v>
      </c>
      <c r="Y36" s="9" t="n">
        <f aca="false">Y16-Y35</f>
        <v>0</v>
      </c>
      <c r="Z36" s="9" t="n">
        <f aca="false">Z16-Z35</f>
        <v>0</v>
      </c>
      <c r="AA36" s="9" t="n">
        <f aca="false">AA16-AA35</f>
        <v>0</v>
      </c>
      <c r="AB36" s="9" t="n">
        <f aca="false">AB16-AB35</f>
        <v>0</v>
      </c>
      <c r="AC36" s="9" t="n">
        <f aca="false">AC16-AC35</f>
        <v>0</v>
      </c>
      <c r="AD36" s="9" t="n">
        <f aca="false">AD16-AD35</f>
        <v>0</v>
      </c>
      <c r="AE36" s="9" t="n">
        <f aca="false">AE16-AE35</f>
        <v>0</v>
      </c>
      <c r="AF36" s="9" t="n">
        <f aca="false">AF16-AF35</f>
        <v>0</v>
      </c>
      <c r="AG36" s="9" t="n">
        <f aca="false">AG16-AG35</f>
        <v>0</v>
      </c>
      <c r="AH36" s="9" t="n">
        <f aca="false">AH16-AH35</f>
        <v>0</v>
      </c>
      <c r="AI36" s="9" t="n">
        <f aca="false">AI16-AI35</f>
        <v>0</v>
      </c>
      <c r="AJ36" s="9" t="n">
        <f aca="false">AJ16-AJ35</f>
        <v>0</v>
      </c>
      <c r="AK36" s="9" t="n">
        <f aca="false">AK16-AK35</f>
        <v>0</v>
      </c>
      <c r="AL36" s="9" t="n">
        <f aca="false">AL16-AL35</f>
        <v>0</v>
      </c>
      <c r="AM36" s="9" t="n">
        <f aca="false">AM16-AM35</f>
        <v>0</v>
      </c>
      <c r="AN36" s="9" t="n">
        <f aca="false">AN16-AN35</f>
        <v>0</v>
      </c>
      <c r="AO36" s="9" t="n">
        <f aca="false">AO16-AO35</f>
        <v>0</v>
      </c>
      <c r="AP36" s="9" t="n">
        <f aca="false">M36</f>
        <v>0</v>
      </c>
      <c r="AQ36" s="9" t="n">
        <f aca="false">Y36</f>
        <v>0</v>
      </c>
      <c r="AR36" s="9" t="n">
        <f aca="false">AK36</f>
        <v>0</v>
      </c>
      <c r="AS36" s="9" t="n">
        <f aca="false">AO36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T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0"/>
    <col collapsed="false" customWidth="true" hidden="false" outlineLevel="0" max="3" min="3" style="0" width="30"/>
    <col collapsed="false" customWidth="true" hidden="false" outlineLevel="0" max="4" min="4" style="0" width="34"/>
    <col collapsed="false" customWidth="true" hidden="false" outlineLevel="0" max="5" min="5" style="0" width="4"/>
    <col collapsed="false" customWidth="true" hidden="false" outlineLevel="0" max="41" min="6" style="0" width="13"/>
    <col collapsed="false" customWidth="true" hidden="false" outlineLevel="0" max="45" min="42" style="0" width="16"/>
    <col collapsed="false" customWidth="true" hidden="false" outlineLevel="0" max="46" min="46" style="0" width="40"/>
  </cols>
  <sheetData>
    <row r="1" customFormat="false" ht="17.15" hidden="false" customHeight="false" outlineLevel="0" collapsed="false">
      <c r="A1" s="35" t="s">
        <v>367</v>
      </c>
    </row>
    <row r="2" customFormat="false" ht="15" hidden="false" customHeight="false" outlineLevel="0" collapsed="false">
      <c r="A2" s="10" t="s">
        <v>368</v>
      </c>
    </row>
    <row r="3" customFormat="false" ht="30" hidden="false" customHeight="true" outlineLevel="0" collapsed="false">
      <c r="A3" s="11" t="s">
        <v>369</v>
      </c>
      <c r="B3" s="11" t="s">
        <v>370</v>
      </c>
      <c r="C3" s="11" t="s">
        <v>371</v>
      </c>
      <c r="D3" s="11" t="s">
        <v>372</v>
      </c>
      <c r="E3" s="11"/>
      <c r="F3" s="12" t="s">
        <v>31</v>
      </c>
      <c r="G3" s="12" t="s">
        <v>32</v>
      </c>
      <c r="H3" s="12" t="s">
        <v>33</v>
      </c>
      <c r="I3" s="12" t="s">
        <v>34</v>
      </c>
      <c r="J3" s="12" t="s">
        <v>35</v>
      </c>
      <c r="K3" s="12" t="s">
        <v>36</v>
      </c>
      <c r="L3" s="12" t="s">
        <v>37</v>
      </c>
      <c r="M3" s="12" t="s">
        <v>38</v>
      </c>
      <c r="N3" s="12" t="s">
        <v>39</v>
      </c>
      <c r="O3" s="12" t="s">
        <v>40</v>
      </c>
      <c r="P3" s="12" t="s">
        <v>41</v>
      </c>
      <c r="Q3" s="12" t="s">
        <v>42</v>
      </c>
      <c r="R3" s="12" t="s">
        <v>43</v>
      </c>
      <c r="S3" s="12" t="s">
        <v>44</v>
      </c>
      <c r="T3" s="12" t="s">
        <v>45</v>
      </c>
      <c r="U3" s="12" t="s">
        <v>46</v>
      </c>
      <c r="V3" s="12" t="s">
        <v>47</v>
      </c>
      <c r="W3" s="12" t="s">
        <v>48</v>
      </c>
      <c r="X3" s="12" t="s">
        <v>49</v>
      </c>
      <c r="Y3" s="12" t="s">
        <v>50</v>
      </c>
      <c r="Z3" s="12" t="s">
        <v>51</v>
      </c>
      <c r="AA3" s="12" t="s">
        <v>52</v>
      </c>
      <c r="AB3" s="12" t="s">
        <v>53</v>
      </c>
      <c r="AC3" s="12" t="s">
        <v>54</v>
      </c>
      <c r="AD3" s="12" t="s">
        <v>55</v>
      </c>
      <c r="AE3" s="12" t="s">
        <v>56</v>
      </c>
      <c r="AF3" s="12" t="s">
        <v>57</v>
      </c>
      <c r="AG3" s="12" t="s">
        <v>58</v>
      </c>
      <c r="AH3" s="12" t="s">
        <v>59</v>
      </c>
      <c r="AI3" s="12" t="s">
        <v>60</v>
      </c>
      <c r="AJ3" s="12" t="s">
        <v>61</v>
      </c>
      <c r="AK3" s="12" t="s">
        <v>62</v>
      </c>
      <c r="AL3" s="12" t="s">
        <v>63</v>
      </c>
      <c r="AM3" s="12" t="s">
        <v>64</v>
      </c>
      <c r="AN3" s="12" t="s">
        <v>65</v>
      </c>
      <c r="AO3" s="12" t="s">
        <v>66</v>
      </c>
      <c r="AP3" s="12" t="s">
        <v>67</v>
      </c>
      <c r="AQ3" s="12" t="s">
        <v>68</v>
      </c>
      <c r="AR3" s="12" t="s">
        <v>69</v>
      </c>
      <c r="AS3" s="12" t="s">
        <v>70</v>
      </c>
      <c r="AT3" s="11" t="s">
        <v>373</v>
      </c>
    </row>
    <row r="4" customFormat="false" ht="15" hidden="false" customHeight="false" outlineLevel="0" collapsed="false">
      <c r="A4" s="10" t="s">
        <v>72</v>
      </c>
      <c r="F4" s="13" t="s">
        <v>73</v>
      </c>
      <c r="G4" s="13" t="s">
        <v>73</v>
      </c>
      <c r="H4" s="13" t="s">
        <v>73</v>
      </c>
      <c r="I4" s="13" t="s">
        <v>73</v>
      </c>
      <c r="J4" s="13" t="s">
        <v>73</v>
      </c>
      <c r="K4" s="13" t="s">
        <v>73</v>
      </c>
      <c r="L4" s="13" t="s">
        <v>73</v>
      </c>
      <c r="M4" s="13" t="s">
        <v>73</v>
      </c>
      <c r="N4" s="14" t="s">
        <v>74</v>
      </c>
      <c r="O4" s="14" t="s">
        <v>74</v>
      </c>
      <c r="P4" s="14" t="s">
        <v>74</v>
      </c>
      <c r="Q4" s="14" t="s">
        <v>74</v>
      </c>
      <c r="R4" s="14" t="s">
        <v>74</v>
      </c>
      <c r="S4" s="14" t="s">
        <v>74</v>
      </c>
      <c r="T4" s="14" t="s">
        <v>74</v>
      </c>
      <c r="U4" s="14" t="s">
        <v>74</v>
      </c>
      <c r="V4" s="14" t="s">
        <v>74</v>
      </c>
      <c r="W4" s="15" t="s">
        <v>74</v>
      </c>
      <c r="X4" s="15" t="s">
        <v>74</v>
      </c>
      <c r="Y4" s="15" t="s">
        <v>74</v>
      </c>
      <c r="Z4" s="15" t="s">
        <v>74</v>
      </c>
      <c r="AA4" s="15" t="s">
        <v>74</v>
      </c>
      <c r="AB4" s="15" t="s">
        <v>74</v>
      </c>
      <c r="AC4" s="15" t="s">
        <v>74</v>
      </c>
      <c r="AD4" s="15" t="s">
        <v>74</v>
      </c>
      <c r="AE4" s="15" t="s">
        <v>74</v>
      </c>
      <c r="AF4" s="15" t="s">
        <v>74</v>
      </c>
      <c r="AG4" s="15" t="s">
        <v>74</v>
      </c>
      <c r="AH4" s="15" t="s">
        <v>74</v>
      </c>
      <c r="AI4" s="15" t="s">
        <v>74</v>
      </c>
      <c r="AJ4" s="15" t="s">
        <v>74</v>
      </c>
      <c r="AK4" s="15" t="s">
        <v>74</v>
      </c>
      <c r="AL4" s="15" t="s">
        <v>74</v>
      </c>
      <c r="AM4" s="15" t="s">
        <v>74</v>
      </c>
      <c r="AN4" s="15" t="s">
        <v>74</v>
      </c>
      <c r="AO4" s="15" t="s">
        <v>74</v>
      </c>
      <c r="AP4" s="16" t="s">
        <v>75</v>
      </c>
      <c r="AQ4" s="16" t="s">
        <v>75</v>
      </c>
      <c r="AR4" s="16" t="s">
        <v>75</v>
      </c>
      <c r="AS4" s="16" t="s">
        <v>75</v>
      </c>
    </row>
    <row r="5" customFormat="false" ht="15" hidden="false" customHeight="false" outlineLevel="0" collapsed="false">
      <c r="A5" s="2" t="s">
        <v>374</v>
      </c>
      <c r="B5" s="2" t="s">
        <v>375</v>
      </c>
      <c r="C5" s="2" t="s">
        <v>376</v>
      </c>
      <c r="D5" s="2" t="s">
        <v>377</v>
      </c>
      <c r="F5" s="7" t="n">
        <v>0</v>
      </c>
      <c r="G5" s="7" t="n">
        <v>1</v>
      </c>
      <c r="H5" s="7" t="n">
        <v>1</v>
      </c>
      <c r="I5" s="7" t="n">
        <v>1</v>
      </c>
      <c r="J5" s="7" t="n">
        <v>1</v>
      </c>
      <c r="K5" s="7" t="n">
        <v>1</v>
      </c>
      <c r="L5" s="7" t="n">
        <v>1</v>
      </c>
      <c r="M5" s="7" t="n">
        <v>1</v>
      </c>
      <c r="N5" s="7" t="n">
        <v>2</v>
      </c>
      <c r="O5" s="7" t="n">
        <v>2</v>
      </c>
      <c r="P5" s="7" t="n">
        <v>2</v>
      </c>
      <c r="Q5" s="7" t="n">
        <v>3</v>
      </c>
      <c r="R5" s="7" t="n">
        <v>3</v>
      </c>
      <c r="S5" s="7" t="n">
        <v>3</v>
      </c>
      <c r="T5" s="7" t="n">
        <v>3</v>
      </c>
      <c r="U5" s="7" t="n">
        <v>3</v>
      </c>
      <c r="V5" s="7" t="n">
        <v>3</v>
      </c>
      <c r="W5" s="7" t="n">
        <v>3</v>
      </c>
      <c r="X5" s="7" t="n">
        <v>3</v>
      </c>
      <c r="Y5" s="7" t="n">
        <v>3</v>
      </c>
      <c r="Z5" s="7" t="n">
        <v>3</v>
      </c>
      <c r="AA5" s="7" t="n">
        <v>3</v>
      </c>
      <c r="AB5" s="7" t="n">
        <v>3</v>
      </c>
      <c r="AC5" s="7" t="n">
        <v>3</v>
      </c>
      <c r="AD5" s="7" t="n">
        <v>3</v>
      </c>
      <c r="AE5" s="7" t="n">
        <v>3</v>
      </c>
      <c r="AF5" s="7" t="n">
        <v>3</v>
      </c>
      <c r="AG5" s="7" t="n">
        <v>3</v>
      </c>
      <c r="AH5" s="7" t="n">
        <v>4</v>
      </c>
      <c r="AI5" s="7" t="n">
        <v>4</v>
      </c>
      <c r="AJ5" s="7" t="n">
        <v>4</v>
      </c>
      <c r="AK5" s="7" t="n">
        <v>4</v>
      </c>
      <c r="AL5" s="7" t="n">
        <v>4</v>
      </c>
      <c r="AM5" s="7" t="n">
        <v>4</v>
      </c>
      <c r="AN5" s="7" t="n">
        <v>4</v>
      </c>
      <c r="AO5" s="7" t="n">
        <v>4</v>
      </c>
      <c r="AP5" s="36" t="n">
        <f aca="false">M5</f>
        <v>1</v>
      </c>
      <c r="AQ5" s="36" t="n">
        <f aca="false">Y5</f>
        <v>3</v>
      </c>
      <c r="AR5" s="36" t="n">
        <f aca="false">AK5</f>
        <v>4</v>
      </c>
      <c r="AS5" s="36" t="n">
        <f aca="false">AO5</f>
        <v>4</v>
      </c>
      <c r="AT5" s="2" t="s">
        <v>378</v>
      </c>
    </row>
    <row r="6" customFormat="false" ht="15" hidden="false" customHeight="false" outlineLevel="0" collapsed="false">
      <c r="A6" s="2" t="s">
        <v>374</v>
      </c>
      <c r="B6" s="2" t="s">
        <v>379</v>
      </c>
      <c r="C6" s="2" t="s">
        <v>376</v>
      </c>
      <c r="D6" s="2" t="s">
        <v>377</v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1</v>
      </c>
      <c r="R6" s="7" t="n">
        <v>1</v>
      </c>
      <c r="S6" s="7" t="n">
        <v>1</v>
      </c>
      <c r="T6" s="7" t="n">
        <v>1</v>
      </c>
      <c r="U6" s="7" t="n">
        <v>1</v>
      </c>
      <c r="V6" s="7" t="n">
        <v>1</v>
      </c>
      <c r="W6" s="7" t="n">
        <v>1</v>
      </c>
      <c r="X6" s="7" t="n">
        <v>1</v>
      </c>
      <c r="Y6" s="7" t="n">
        <v>1</v>
      </c>
      <c r="Z6" s="7" t="n">
        <v>1</v>
      </c>
      <c r="AA6" s="7" t="n">
        <v>1</v>
      </c>
      <c r="AB6" s="7" t="n">
        <v>2</v>
      </c>
      <c r="AC6" s="7" t="n">
        <v>2</v>
      </c>
      <c r="AD6" s="7" t="n">
        <v>2</v>
      </c>
      <c r="AE6" s="7" t="n">
        <v>2</v>
      </c>
      <c r="AF6" s="7" t="n">
        <v>2</v>
      </c>
      <c r="AG6" s="7" t="n">
        <v>2</v>
      </c>
      <c r="AH6" s="7" t="n">
        <v>2</v>
      </c>
      <c r="AI6" s="7" t="n">
        <v>2</v>
      </c>
      <c r="AJ6" s="7" t="n">
        <v>2</v>
      </c>
      <c r="AK6" s="7" t="n">
        <v>2</v>
      </c>
      <c r="AL6" s="7" t="n">
        <v>2</v>
      </c>
      <c r="AM6" s="7" t="n">
        <v>2</v>
      </c>
      <c r="AN6" s="7" t="n">
        <v>2</v>
      </c>
      <c r="AO6" s="7" t="n">
        <v>2</v>
      </c>
      <c r="AP6" s="36" t="n">
        <f aca="false">M6</f>
        <v>0</v>
      </c>
      <c r="AQ6" s="36" t="n">
        <f aca="false">Y6</f>
        <v>1</v>
      </c>
      <c r="AR6" s="36" t="n">
        <f aca="false">AK6</f>
        <v>2</v>
      </c>
      <c r="AS6" s="36" t="n">
        <f aca="false">AO6</f>
        <v>2</v>
      </c>
      <c r="AT6" s="2"/>
    </row>
    <row r="7" customFormat="false" ht="15" hidden="false" customHeight="false" outlineLevel="0" collapsed="false">
      <c r="A7" s="2" t="s">
        <v>374</v>
      </c>
      <c r="B7" s="2" t="s">
        <v>380</v>
      </c>
      <c r="C7" s="2" t="s">
        <v>376</v>
      </c>
      <c r="D7" s="2" t="s">
        <v>381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1</v>
      </c>
      <c r="K7" s="7" t="n">
        <v>1</v>
      </c>
      <c r="L7" s="7" t="n">
        <v>1</v>
      </c>
      <c r="M7" s="7" t="n">
        <v>1</v>
      </c>
      <c r="N7" s="7" t="n">
        <v>1</v>
      </c>
      <c r="O7" s="7" t="n">
        <v>1</v>
      </c>
      <c r="P7" s="7" t="n">
        <v>1</v>
      </c>
      <c r="Q7" s="7" t="n">
        <v>1</v>
      </c>
      <c r="R7" s="7" t="n">
        <v>1</v>
      </c>
      <c r="S7" s="7" t="n">
        <v>1</v>
      </c>
      <c r="T7" s="7" t="n">
        <v>2</v>
      </c>
      <c r="U7" s="7" t="n">
        <v>2</v>
      </c>
      <c r="V7" s="7" t="n">
        <v>2</v>
      </c>
      <c r="W7" s="7" t="n">
        <v>2</v>
      </c>
      <c r="X7" s="7" t="n">
        <v>2</v>
      </c>
      <c r="Y7" s="7" t="n">
        <v>2</v>
      </c>
      <c r="Z7" s="7" t="n">
        <v>2</v>
      </c>
      <c r="AA7" s="7" t="n">
        <v>2</v>
      </c>
      <c r="AB7" s="7" t="n">
        <v>2</v>
      </c>
      <c r="AC7" s="7" t="n">
        <v>2</v>
      </c>
      <c r="AD7" s="7" t="n">
        <v>2</v>
      </c>
      <c r="AE7" s="7" t="n">
        <v>3</v>
      </c>
      <c r="AF7" s="7" t="n">
        <v>3</v>
      </c>
      <c r="AG7" s="7" t="n">
        <v>3</v>
      </c>
      <c r="AH7" s="7" t="n">
        <v>3</v>
      </c>
      <c r="AI7" s="7" t="n">
        <v>3</v>
      </c>
      <c r="AJ7" s="7" t="n">
        <v>3</v>
      </c>
      <c r="AK7" s="7" t="n">
        <v>3</v>
      </c>
      <c r="AL7" s="7" t="n">
        <v>3</v>
      </c>
      <c r="AM7" s="7" t="n">
        <v>3</v>
      </c>
      <c r="AN7" s="7" t="n">
        <v>3</v>
      </c>
      <c r="AO7" s="7" t="n">
        <v>3</v>
      </c>
      <c r="AP7" s="36" t="n">
        <f aca="false">M7</f>
        <v>1</v>
      </c>
      <c r="AQ7" s="36" t="n">
        <f aca="false">Y7</f>
        <v>2</v>
      </c>
      <c r="AR7" s="36" t="n">
        <f aca="false">AK7</f>
        <v>3</v>
      </c>
      <c r="AS7" s="36" t="n">
        <f aca="false">AO7</f>
        <v>3</v>
      </c>
      <c r="AT7" s="2"/>
    </row>
    <row r="8" customFormat="false" ht="15" hidden="false" customHeight="false" outlineLevel="0" collapsed="false">
      <c r="A8" s="30" t="s">
        <v>374</v>
      </c>
      <c r="B8" s="2" t="s">
        <v>382</v>
      </c>
      <c r="C8" s="2" t="s">
        <v>376</v>
      </c>
      <c r="D8" s="2"/>
      <c r="F8" s="9" t="n">
        <f aca="false">SUM(F5:F7)</f>
        <v>0</v>
      </c>
      <c r="G8" s="9" t="n">
        <f aca="false">SUM(G5:G7)</f>
        <v>1</v>
      </c>
      <c r="H8" s="9" t="n">
        <f aca="false">SUM(H5:H7)</f>
        <v>1</v>
      </c>
      <c r="I8" s="9" t="n">
        <f aca="false">SUM(I5:I7)</f>
        <v>1</v>
      </c>
      <c r="J8" s="9" t="n">
        <f aca="false">SUM(J5:J7)</f>
        <v>2</v>
      </c>
      <c r="K8" s="9" t="n">
        <f aca="false">SUM(K5:K7)</f>
        <v>2</v>
      </c>
      <c r="L8" s="9" t="n">
        <f aca="false">SUM(L5:L7)</f>
        <v>2</v>
      </c>
      <c r="M8" s="9" t="n">
        <f aca="false">SUM(M5:M7)</f>
        <v>2</v>
      </c>
      <c r="N8" s="9" t="n">
        <f aca="false">SUM(N5:N7)</f>
        <v>3</v>
      </c>
      <c r="O8" s="9" t="n">
        <f aca="false">SUM(O5:O7)</f>
        <v>3</v>
      </c>
      <c r="P8" s="9" t="n">
        <f aca="false">SUM(P5:P7)</f>
        <v>3</v>
      </c>
      <c r="Q8" s="9" t="n">
        <f aca="false">SUM(Q5:Q7)</f>
        <v>5</v>
      </c>
      <c r="R8" s="9" t="n">
        <f aca="false">SUM(R5:R7)</f>
        <v>5</v>
      </c>
      <c r="S8" s="9" t="n">
        <f aca="false">SUM(S5:S7)</f>
        <v>5</v>
      </c>
      <c r="T8" s="9" t="n">
        <f aca="false">SUM(T5:T7)</f>
        <v>6</v>
      </c>
      <c r="U8" s="9" t="n">
        <f aca="false">SUM(U5:U7)</f>
        <v>6</v>
      </c>
      <c r="V8" s="9" t="n">
        <f aca="false">SUM(V5:V7)</f>
        <v>6</v>
      </c>
      <c r="W8" s="9" t="n">
        <f aca="false">SUM(W5:W7)</f>
        <v>6</v>
      </c>
      <c r="X8" s="9" t="n">
        <f aca="false">SUM(X5:X7)</f>
        <v>6</v>
      </c>
      <c r="Y8" s="9" t="n">
        <f aca="false">SUM(Y5:Y7)</f>
        <v>6</v>
      </c>
      <c r="Z8" s="9" t="n">
        <f aca="false">SUM(Z5:Z7)</f>
        <v>6</v>
      </c>
      <c r="AA8" s="9" t="n">
        <f aca="false">SUM(AA5:AA7)</f>
        <v>6</v>
      </c>
      <c r="AB8" s="9" t="n">
        <f aca="false">SUM(AB5:AB7)</f>
        <v>7</v>
      </c>
      <c r="AC8" s="9" t="n">
        <f aca="false">SUM(AC5:AC7)</f>
        <v>7</v>
      </c>
      <c r="AD8" s="9" t="n">
        <f aca="false">SUM(AD5:AD7)</f>
        <v>7</v>
      </c>
      <c r="AE8" s="9" t="n">
        <f aca="false">SUM(AE5:AE7)</f>
        <v>8</v>
      </c>
      <c r="AF8" s="9" t="n">
        <f aca="false">SUM(AF5:AF7)</f>
        <v>8</v>
      </c>
      <c r="AG8" s="9" t="n">
        <f aca="false">SUM(AG5:AG7)</f>
        <v>8</v>
      </c>
      <c r="AH8" s="9" t="n">
        <f aca="false">SUM(AH5:AH7)</f>
        <v>9</v>
      </c>
      <c r="AI8" s="9" t="n">
        <f aca="false">SUM(AI5:AI7)</f>
        <v>9</v>
      </c>
      <c r="AJ8" s="9" t="n">
        <f aca="false">SUM(AJ5:AJ7)</f>
        <v>9</v>
      </c>
      <c r="AK8" s="9" t="n">
        <f aca="false">SUM(AK5:AK7)</f>
        <v>9</v>
      </c>
      <c r="AL8" s="9" t="n">
        <f aca="false">SUM(AL5:AL7)</f>
        <v>9</v>
      </c>
      <c r="AM8" s="9" t="n">
        <f aca="false">SUM(AM5:AM7)</f>
        <v>9</v>
      </c>
      <c r="AN8" s="9" t="n">
        <f aca="false">SUM(AN5:AN7)</f>
        <v>9</v>
      </c>
      <c r="AO8" s="9" t="n">
        <f aca="false">SUM(AO5:AO7)</f>
        <v>9</v>
      </c>
      <c r="AP8" s="9" t="n">
        <f aca="false">SUM(AP5:AP7)</f>
        <v>2</v>
      </c>
      <c r="AQ8" s="9" t="n">
        <f aca="false">SUM(AQ5:AQ7)</f>
        <v>6</v>
      </c>
      <c r="AR8" s="9" t="n">
        <f aca="false">SUM(AR5:AR7)</f>
        <v>9</v>
      </c>
      <c r="AS8" s="9" t="n">
        <f aca="false">SUM(AS5:AS7)</f>
        <v>9</v>
      </c>
      <c r="AT8" s="2"/>
    </row>
    <row r="9" customFormat="false" ht="15" hidden="false" customHeight="false" outlineLevel="0" collapsed="false">
      <c r="A9" s="30" t="s">
        <v>374</v>
      </c>
      <c r="B9" s="2" t="s">
        <v>383</v>
      </c>
      <c r="C9" s="2" t="s">
        <v>384</v>
      </c>
      <c r="D9" s="2"/>
      <c r="F9" s="9" t="n">
        <f aca="false">IF(F8=0,0,'판관비(SG&amp;A)'!F33/F8)</f>
        <v>0</v>
      </c>
      <c r="G9" s="9" t="n">
        <f aca="false">IF(G8=0,0,'판관비(SG&amp;A)'!G33/G8)</f>
        <v>3310693</v>
      </c>
      <c r="H9" s="9" t="n">
        <f aca="false">IF(H8=0,0,'판관비(SG&amp;A)'!H33/H8)</f>
        <v>3310693</v>
      </c>
      <c r="I9" s="9" t="n">
        <f aca="false">IF(I8=0,0,'판관비(SG&amp;A)'!I33/I8)</f>
        <v>3310693</v>
      </c>
      <c r="J9" s="9" t="n">
        <f aca="false">IF(J8=0,0,'판관비(SG&amp;A)'!J33/J8)</f>
        <v>2576822.5</v>
      </c>
      <c r="K9" s="9" t="n">
        <f aca="false">IF(K8=0,0,'판관비(SG&amp;A)'!K33/K8)</f>
        <v>2576822.5</v>
      </c>
      <c r="L9" s="9" t="n">
        <f aca="false">IF(L8=0,0,'판관비(SG&amp;A)'!L33/L8)</f>
        <v>2576822.5</v>
      </c>
      <c r="M9" s="9" t="n">
        <f aca="false">IF(M8=0,0,'판관비(SG&amp;A)'!M33/M8)</f>
        <v>2576819</v>
      </c>
      <c r="N9" s="9" t="n">
        <f aca="false">IF(N8=0,0,'판관비(SG&amp;A)'!N33/N8)</f>
        <v>4502800</v>
      </c>
      <c r="O9" s="9" t="n">
        <f aca="false">IF(O8=0,0,'판관비(SG&amp;A)'!O33/O8)</f>
        <v>4702800</v>
      </c>
      <c r="P9" s="9" t="n">
        <f aca="false">IF(P8=0,0,'판관비(SG&amp;A)'!P33/P8)</f>
        <v>4502800</v>
      </c>
      <c r="Q9" s="9" t="n">
        <f aca="false">IF(Q8=0,0,'판관비(SG&amp;A)'!Q33/Q8)</f>
        <v>4739066.6</v>
      </c>
      <c r="R9" s="9" t="n">
        <f aca="false">IF(R8=0,0,'판관비(SG&amp;A)'!R33/R8)</f>
        <v>4739066.6</v>
      </c>
      <c r="S9" s="9" t="n">
        <f aca="false">IF(S8=0,0,'판관비(SG&amp;A)'!S33/S8)</f>
        <v>4739066.6</v>
      </c>
      <c r="T9" s="9" t="n">
        <f aca="false">IF(T8=0,0,'판관비(SG&amp;A)'!T33/T8)</f>
        <v>4778444.5</v>
      </c>
      <c r="U9" s="9" t="n">
        <f aca="false">IF(U8=0,0,'판관비(SG&amp;A)'!U33/U8)</f>
        <v>4778444.5</v>
      </c>
      <c r="V9" s="9" t="n">
        <f aca="false">IF(V8=0,0,'판관비(SG&amp;A)'!V33/V8)</f>
        <v>4978444.5</v>
      </c>
      <c r="W9" s="9" t="n">
        <f aca="false">IF(W8=0,0,'판관비(SG&amp;A)'!W33/W8)</f>
        <v>4778444.5</v>
      </c>
      <c r="X9" s="9" t="n">
        <f aca="false">IF(X8=0,0,'판관비(SG&amp;A)'!X33/X8)</f>
        <v>4778444.5</v>
      </c>
      <c r="Y9" s="9" t="n">
        <f aca="false">IF(Y8=0,0,'판관비(SG&amp;A)'!Y33/Y8)</f>
        <v>4778444.5</v>
      </c>
      <c r="Z9" s="9" t="n">
        <f aca="false">IF(Z8=0,0,'판관비(SG&amp;A)'!Z33/Z8)</f>
        <v>5004866.66666667</v>
      </c>
      <c r="AA9" s="9" t="n">
        <f aca="false">IF(AA8=0,0,'판관비(SG&amp;A)'!AA33/AA8)</f>
        <v>5204866.66666667</v>
      </c>
      <c r="AB9" s="9" t="n">
        <f aca="false">IF(AB8=0,0,'판관비(SG&amp;A)'!AB33/AB8)</f>
        <v>4963520</v>
      </c>
      <c r="AC9" s="9" t="n">
        <f aca="false">IF(AC8=0,0,'판관비(SG&amp;A)'!AC33/AC8)</f>
        <v>4963520</v>
      </c>
      <c r="AD9" s="9" t="n">
        <f aca="false">IF(AD8=0,0,'판관비(SG&amp;A)'!AD33/AD8)</f>
        <v>4963520</v>
      </c>
      <c r="AE9" s="9" t="n">
        <f aca="false">IF(AE8=0,0,'판관비(SG&amp;A)'!AE33/AE8)</f>
        <v>4870490</v>
      </c>
      <c r="AF9" s="9" t="n">
        <f aca="false">IF(AF8=0,0,'판관비(SG&amp;A)'!AF33/AF8)</f>
        <v>4870490</v>
      </c>
      <c r="AG9" s="9" t="n">
        <f aca="false">IF(AG8=0,0,'판관비(SG&amp;A)'!AG33/AG8)</f>
        <v>4870490</v>
      </c>
      <c r="AH9" s="9" t="n">
        <f aca="false">IF(AH8=0,0,'판관비(SG&amp;A)'!AH33/AH8)</f>
        <v>5246213.33333333</v>
      </c>
      <c r="AI9" s="9" t="n">
        <f aca="false">IF(AI8=0,0,'판관비(SG&amp;A)'!AI33/AI8)</f>
        <v>5046213.33333333</v>
      </c>
      <c r="AJ9" s="9" t="n">
        <f aca="false">IF(AJ8=0,0,'판관비(SG&amp;A)'!AJ33/AJ8)</f>
        <v>5046213.33333333</v>
      </c>
      <c r="AK9" s="9" t="n">
        <f aca="false">IF(AK8=0,0,'판관비(SG&amp;A)'!AK33/AK8)</f>
        <v>5046213.33333333</v>
      </c>
      <c r="AL9" s="9" t="n">
        <f aca="false">IF(AL8=0,0,'판관비(SG&amp;A)'!AL33/AL8)</f>
        <v>5286024</v>
      </c>
      <c r="AM9" s="9" t="n">
        <f aca="false">IF(AM8=0,0,'판관비(SG&amp;A)'!AM33/AM8)</f>
        <v>5486024</v>
      </c>
      <c r="AN9" s="9" t="n">
        <f aca="false">IF(AN8=0,0,'판관비(SG&amp;A)'!AN33/AN8)</f>
        <v>5286024</v>
      </c>
      <c r="AO9" s="9" t="n">
        <f aca="false">IF(AO8=0,0,'판관비(SG&amp;A)'!AO33/AO8)</f>
        <v>5286024</v>
      </c>
      <c r="AP9" s="9"/>
      <c r="AQ9" s="9"/>
      <c r="AR9" s="9"/>
      <c r="AS9" s="9"/>
      <c r="AT9" s="2"/>
    </row>
    <row r="11" customFormat="false" ht="15" hidden="false" customHeight="false" outlineLevel="0" collapsed="false">
      <c r="A11" s="17" t="s">
        <v>385</v>
      </c>
      <c r="B11" s="2" t="s">
        <v>386</v>
      </c>
      <c r="C11" s="2" t="s">
        <v>376</v>
      </c>
      <c r="D11" s="2" t="s">
        <v>387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45</v>
      </c>
      <c r="K11" s="7" t="n">
        <v>78</v>
      </c>
      <c r="L11" s="7" t="n">
        <v>99</v>
      </c>
      <c r="M11" s="7" t="n">
        <v>112</v>
      </c>
      <c r="N11" s="7" t="n">
        <v>135</v>
      </c>
      <c r="O11" s="7" t="n">
        <v>167</v>
      </c>
      <c r="P11" s="7" t="n">
        <v>214</v>
      </c>
      <c r="Q11" s="7" t="n">
        <v>250</v>
      </c>
      <c r="R11" s="7" t="n">
        <v>269</v>
      </c>
      <c r="S11" s="7" t="n">
        <v>283</v>
      </c>
      <c r="T11" s="7" t="n">
        <v>307</v>
      </c>
      <c r="U11" s="7" t="n">
        <v>357</v>
      </c>
      <c r="V11" s="7" t="n">
        <v>434</v>
      </c>
      <c r="W11" s="7" t="n">
        <v>483</v>
      </c>
      <c r="X11" s="7" t="n">
        <v>506</v>
      </c>
      <c r="Y11" s="7" t="n">
        <v>512</v>
      </c>
      <c r="Z11" s="7" t="n">
        <v>557</v>
      </c>
      <c r="AA11" s="7" t="n">
        <v>625</v>
      </c>
      <c r="AB11" s="7" t="n">
        <v>727</v>
      </c>
      <c r="AC11" s="7" t="n">
        <v>796</v>
      </c>
      <c r="AD11" s="7" t="n">
        <v>821</v>
      </c>
      <c r="AE11" s="7" t="n">
        <v>833</v>
      </c>
      <c r="AF11" s="7" t="n">
        <v>861</v>
      </c>
      <c r="AG11" s="7" t="n">
        <v>934</v>
      </c>
      <c r="AH11" s="7" t="n">
        <v>1048</v>
      </c>
      <c r="AI11" s="7" t="n">
        <v>1109</v>
      </c>
      <c r="AJ11" s="7" t="n">
        <v>1120</v>
      </c>
      <c r="AK11" s="7" t="n">
        <v>1101</v>
      </c>
      <c r="AL11" s="7" t="n">
        <v>1122</v>
      </c>
      <c r="AM11" s="7" t="n">
        <v>1177</v>
      </c>
      <c r="AN11" s="7" t="n">
        <v>1284</v>
      </c>
      <c r="AO11" s="7" t="n">
        <v>1346</v>
      </c>
      <c r="AP11" s="36" t="n">
        <f aca="false">M11</f>
        <v>112</v>
      </c>
      <c r="AQ11" s="36" t="n">
        <f aca="false">Y11</f>
        <v>512</v>
      </c>
      <c r="AR11" s="36" t="n">
        <f aca="false">AK11</f>
        <v>1101</v>
      </c>
      <c r="AS11" s="36" t="n">
        <f aca="false">AO11</f>
        <v>1346</v>
      </c>
      <c r="AT11" s="2" t="s">
        <v>388</v>
      </c>
    </row>
    <row r="12" customFormat="false" ht="15" hidden="false" customHeight="false" outlineLevel="0" collapsed="false">
      <c r="A12" s="17" t="s">
        <v>385</v>
      </c>
      <c r="B12" s="2" t="s">
        <v>389</v>
      </c>
      <c r="C12" s="2" t="s">
        <v>376</v>
      </c>
      <c r="D12" s="2" t="s">
        <v>390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12</v>
      </c>
      <c r="L12" s="7" t="n">
        <v>20</v>
      </c>
      <c r="M12" s="7" t="n">
        <v>26</v>
      </c>
      <c r="N12" s="7" t="n">
        <v>35</v>
      </c>
      <c r="O12" s="7" t="n">
        <v>46</v>
      </c>
      <c r="P12" s="7" t="n">
        <v>62</v>
      </c>
      <c r="Q12" s="7" t="n">
        <v>75</v>
      </c>
      <c r="R12" s="7" t="n">
        <v>83</v>
      </c>
      <c r="S12" s="7" t="n">
        <v>89</v>
      </c>
      <c r="T12" s="7" t="n">
        <v>99</v>
      </c>
      <c r="U12" s="7" t="n">
        <v>116</v>
      </c>
      <c r="V12" s="7" t="n">
        <v>141</v>
      </c>
      <c r="W12" s="7" t="n">
        <v>159</v>
      </c>
      <c r="X12" s="7" t="n">
        <v>168</v>
      </c>
      <c r="Y12" s="7" t="n">
        <v>173</v>
      </c>
      <c r="Z12" s="7" t="n">
        <v>188</v>
      </c>
      <c r="AA12" s="7" t="n">
        <v>209</v>
      </c>
      <c r="AB12" s="7" t="n">
        <v>241</v>
      </c>
      <c r="AC12" s="7" t="n">
        <v>264</v>
      </c>
      <c r="AD12" s="7" t="n">
        <v>274</v>
      </c>
      <c r="AE12" s="7" t="n">
        <v>280</v>
      </c>
      <c r="AF12" s="7" t="n">
        <v>290</v>
      </c>
      <c r="AG12" s="7" t="n">
        <v>314</v>
      </c>
      <c r="AH12" s="7" t="n">
        <v>350</v>
      </c>
      <c r="AI12" s="7" t="n">
        <v>371</v>
      </c>
      <c r="AJ12" s="7" t="n">
        <v>377</v>
      </c>
      <c r="AK12" s="7" t="n">
        <v>374</v>
      </c>
      <c r="AL12" s="7" t="n">
        <v>383</v>
      </c>
      <c r="AM12" s="7" t="n">
        <v>402</v>
      </c>
      <c r="AN12" s="7" t="n">
        <v>436</v>
      </c>
      <c r="AO12" s="7" t="n">
        <v>457</v>
      </c>
      <c r="AP12" s="36" t="n">
        <f aca="false">M12</f>
        <v>26</v>
      </c>
      <c r="AQ12" s="36" t="n">
        <f aca="false">Y12</f>
        <v>173</v>
      </c>
      <c r="AR12" s="36" t="n">
        <f aca="false">AK12</f>
        <v>374</v>
      </c>
      <c r="AS12" s="36" t="n">
        <f aca="false">AO12</f>
        <v>457</v>
      </c>
      <c r="AT12" s="2"/>
    </row>
    <row r="13" customFormat="false" ht="15" hidden="false" customHeight="false" outlineLevel="0" collapsed="false">
      <c r="A13" s="17" t="s">
        <v>385</v>
      </c>
      <c r="B13" s="2" t="s">
        <v>391</v>
      </c>
      <c r="C13" s="2" t="s">
        <v>376</v>
      </c>
      <c r="D13" s="2" t="s">
        <v>390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5</v>
      </c>
      <c r="O13" s="7" t="n">
        <v>11</v>
      </c>
      <c r="P13" s="7" t="n">
        <v>19</v>
      </c>
      <c r="Q13" s="7" t="n">
        <v>27</v>
      </c>
      <c r="R13" s="7" t="n">
        <v>33</v>
      </c>
      <c r="S13" s="7" t="n">
        <v>40</v>
      </c>
      <c r="T13" s="7" t="n">
        <v>47</v>
      </c>
      <c r="U13" s="7" t="n">
        <v>59</v>
      </c>
      <c r="V13" s="7" t="n">
        <v>74</v>
      </c>
      <c r="W13" s="7" t="n">
        <v>87</v>
      </c>
      <c r="X13" s="7" t="n">
        <v>98</v>
      </c>
      <c r="Y13" s="7" t="n">
        <v>107</v>
      </c>
      <c r="Z13" s="7" t="n">
        <v>117</v>
      </c>
      <c r="AA13" s="7" t="n">
        <v>130</v>
      </c>
      <c r="AB13" s="7" t="n">
        <v>147</v>
      </c>
      <c r="AC13" s="7" t="n">
        <v>161</v>
      </c>
      <c r="AD13" s="7" t="n">
        <v>172</v>
      </c>
      <c r="AE13" s="7" t="n">
        <v>182</v>
      </c>
      <c r="AF13" s="7" t="n">
        <v>193</v>
      </c>
      <c r="AG13" s="7" t="n">
        <v>208</v>
      </c>
      <c r="AH13" s="7" t="n">
        <v>227</v>
      </c>
      <c r="AI13" s="7" t="n">
        <v>242</v>
      </c>
      <c r="AJ13" s="7" t="n">
        <v>253</v>
      </c>
      <c r="AK13" s="7" t="n">
        <v>262</v>
      </c>
      <c r="AL13" s="7" t="n">
        <v>272</v>
      </c>
      <c r="AM13" s="7" t="n">
        <v>285</v>
      </c>
      <c r="AN13" s="7" t="n">
        <v>301</v>
      </c>
      <c r="AO13" s="7" t="n">
        <v>314</v>
      </c>
      <c r="AP13" s="36" t="n">
        <f aca="false">M13</f>
        <v>0</v>
      </c>
      <c r="AQ13" s="36" t="n">
        <f aca="false">Y13</f>
        <v>107</v>
      </c>
      <c r="AR13" s="36" t="n">
        <f aca="false">AK13</f>
        <v>262</v>
      </c>
      <c r="AS13" s="36" t="n">
        <f aca="false">AO13</f>
        <v>314</v>
      </c>
      <c r="AT13" s="2"/>
    </row>
    <row r="14" customFormat="false" ht="15" hidden="false" customHeight="false" outlineLevel="0" collapsed="false">
      <c r="A14" s="17" t="s">
        <v>385</v>
      </c>
      <c r="B14" s="2" t="s">
        <v>392</v>
      </c>
      <c r="C14" s="2" t="s">
        <v>376</v>
      </c>
      <c r="D14" s="2" t="s">
        <v>390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2</v>
      </c>
      <c r="O14" s="7" t="n">
        <v>5</v>
      </c>
      <c r="P14" s="7" t="n">
        <v>10</v>
      </c>
      <c r="Q14" s="7" t="n">
        <v>14</v>
      </c>
      <c r="R14" s="7" t="n">
        <v>17</v>
      </c>
      <c r="S14" s="7" t="n">
        <v>20</v>
      </c>
      <c r="T14" s="7" t="n">
        <v>24</v>
      </c>
      <c r="U14" s="7" t="n">
        <v>29</v>
      </c>
      <c r="V14" s="7" t="n">
        <v>37</v>
      </c>
      <c r="W14" s="7" t="n">
        <v>43</v>
      </c>
      <c r="X14" s="7" t="n">
        <v>49</v>
      </c>
      <c r="Y14" s="7" t="n">
        <v>53</v>
      </c>
      <c r="Z14" s="7" t="n">
        <v>59</v>
      </c>
      <c r="AA14" s="7" t="n">
        <v>65</v>
      </c>
      <c r="AB14" s="7" t="n">
        <v>73</v>
      </c>
      <c r="AC14" s="7" t="n">
        <v>81</v>
      </c>
      <c r="AD14" s="7" t="n">
        <v>86</v>
      </c>
      <c r="AE14" s="7" t="n">
        <v>91</v>
      </c>
      <c r="AF14" s="7" t="n">
        <v>97</v>
      </c>
      <c r="AG14" s="7" t="n">
        <v>104</v>
      </c>
      <c r="AH14" s="7" t="n">
        <v>113</v>
      </c>
      <c r="AI14" s="7" t="n">
        <v>121</v>
      </c>
      <c r="AJ14" s="7" t="n">
        <v>127</v>
      </c>
      <c r="AK14" s="7" t="n">
        <v>131</v>
      </c>
      <c r="AL14" s="7" t="n">
        <v>136</v>
      </c>
      <c r="AM14" s="7" t="n">
        <v>142</v>
      </c>
      <c r="AN14" s="7" t="n">
        <v>150</v>
      </c>
      <c r="AO14" s="7" t="n">
        <v>157</v>
      </c>
      <c r="AP14" s="36" t="n">
        <f aca="false">M14</f>
        <v>0</v>
      </c>
      <c r="AQ14" s="36" t="n">
        <f aca="false">Y14</f>
        <v>53</v>
      </c>
      <c r="AR14" s="36" t="n">
        <f aca="false">AK14</f>
        <v>131</v>
      </c>
      <c r="AS14" s="36" t="n">
        <f aca="false">AO14</f>
        <v>157</v>
      </c>
      <c r="AT14" s="2"/>
    </row>
    <row r="15" customFormat="false" ht="15" hidden="false" customHeight="false" outlineLevel="0" collapsed="false">
      <c r="A15" s="27" t="s">
        <v>385</v>
      </c>
      <c r="B15" s="2" t="s">
        <v>393</v>
      </c>
      <c r="C15" s="2" t="s">
        <v>376</v>
      </c>
      <c r="D15" s="2"/>
      <c r="F15" s="9" t="n">
        <f aca="false">SUM(F11:F14)</f>
        <v>0</v>
      </c>
      <c r="G15" s="9" t="n">
        <f aca="false">SUM(G11:G14)</f>
        <v>0</v>
      </c>
      <c r="H15" s="9" t="n">
        <f aca="false">SUM(H11:H14)</f>
        <v>0</v>
      </c>
      <c r="I15" s="9" t="n">
        <f aca="false">SUM(I11:I14)</f>
        <v>0</v>
      </c>
      <c r="J15" s="9" t="n">
        <f aca="false">SUM(J11:J14)</f>
        <v>45</v>
      </c>
      <c r="K15" s="9" t="n">
        <f aca="false">SUM(K11:K14)</f>
        <v>90</v>
      </c>
      <c r="L15" s="9" t="n">
        <f aca="false">SUM(L11:L14)</f>
        <v>119</v>
      </c>
      <c r="M15" s="9" t="n">
        <f aca="false">SUM(M11:M14)</f>
        <v>138</v>
      </c>
      <c r="N15" s="9" t="n">
        <f aca="false">SUM(N11:N14)</f>
        <v>177</v>
      </c>
      <c r="O15" s="9" t="n">
        <f aca="false">SUM(O11:O14)</f>
        <v>229</v>
      </c>
      <c r="P15" s="9" t="n">
        <f aca="false">SUM(P11:P14)</f>
        <v>305</v>
      </c>
      <c r="Q15" s="9" t="n">
        <f aca="false">SUM(Q11:Q14)</f>
        <v>366</v>
      </c>
      <c r="R15" s="9" t="n">
        <f aca="false">SUM(R11:R14)</f>
        <v>402</v>
      </c>
      <c r="S15" s="9" t="n">
        <f aca="false">SUM(S11:S14)</f>
        <v>432</v>
      </c>
      <c r="T15" s="9" t="n">
        <f aca="false">SUM(T11:T14)</f>
        <v>477</v>
      </c>
      <c r="U15" s="9" t="n">
        <f aca="false">SUM(U11:U14)</f>
        <v>561</v>
      </c>
      <c r="V15" s="9" t="n">
        <f aca="false">SUM(V11:V14)</f>
        <v>686</v>
      </c>
      <c r="W15" s="9" t="n">
        <f aca="false">SUM(W11:W14)</f>
        <v>772</v>
      </c>
      <c r="X15" s="9" t="n">
        <f aca="false">SUM(X11:X14)</f>
        <v>821</v>
      </c>
      <c r="Y15" s="9" t="n">
        <f aca="false">SUM(Y11:Y14)</f>
        <v>845</v>
      </c>
      <c r="Z15" s="9" t="n">
        <f aca="false">SUM(Z11:Z14)</f>
        <v>921</v>
      </c>
      <c r="AA15" s="9" t="n">
        <f aca="false">SUM(AA11:AA14)</f>
        <v>1029</v>
      </c>
      <c r="AB15" s="9" t="n">
        <f aca="false">SUM(AB11:AB14)</f>
        <v>1188</v>
      </c>
      <c r="AC15" s="9" t="n">
        <f aca="false">SUM(AC11:AC14)</f>
        <v>1302</v>
      </c>
      <c r="AD15" s="9" t="n">
        <f aca="false">SUM(AD11:AD14)</f>
        <v>1353</v>
      </c>
      <c r="AE15" s="9" t="n">
        <f aca="false">SUM(AE11:AE14)</f>
        <v>1386</v>
      </c>
      <c r="AF15" s="9" t="n">
        <f aca="false">SUM(AF11:AF14)</f>
        <v>1441</v>
      </c>
      <c r="AG15" s="9" t="n">
        <f aca="false">SUM(AG11:AG14)</f>
        <v>1560</v>
      </c>
      <c r="AH15" s="9" t="n">
        <f aca="false">SUM(AH11:AH14)</f>
        <v>1738</v>
      </c>
      <c r="AI15" s="9" t="n">
        <f aca="false">SUM(AI11:AI14)</f>
        <v>1843</v>
      </c>
      <c r="AJ15" s="9" t="n">
        <f aca="false">SUM(AJ11:AJ14)</f>
        <v>1877</v>
      </c>
      <c r="AK15" s="9" t="n">
        <f aca="false">SUM(AK11:AK14)</f>
        <v>1868</v>
      </c>
      <c r="AL15" s="9" t="n">
        <f aca="false">SUM(AL11:AL14)</f>
        <v>1913</v>
      </c>
      <c r="AM15" s="9" t="n">
        <f aca="false">SUM(AM11:AM14)</f>
        <v>2006</v>
      </c>
      <c r="AN15" s="9" t="n">
        <f aca="false">SUM(AN11:AN14)</f>
        <v>2171</v>
      </c>
      <c r="AO15" s="9" t="n">
        <f aca="false">SUM(AO11:AO14)</f>
        <v>2274</v>
      </c>
      <c r="AP15" s="9" t="n">
        <f aca="false">M15</f>
        <v>138</v>
      </c>
      <c r="AQ15" s="9" t="n">
        <f aca="false">Y15</f>
        <v>845</v>
      </c>
      <c r="AR15" s="9" t="n">
        <f aca="false">AK15</f>
        <v>1868</v>
      </c>
      <c r="AS15" s="9" t="n">
        <f aca="false">AO15</f>
        <v>2274</v>
      </c>
      <c r="AT15" s="2"/>
    </row>
    <row r="16" customFormat="false" ht="15" hidden="false" customHeight="false" outlineLevel="0" collapsed="false">
      <c r="A16" s="17" t="s">
        <v>385</v>
      </c>
      <c r="B16" s="2" t="s">
        <v>394</v>
      </c>
      <c r="C16" s="2" t="s">
        <v>376</v>
      </c>
      <c r="D16" s="2" t="s">
        <v>395</v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45</v>
      </c>
      <c r="K16" s="7" t="n">
        <v>51</v>
      </c>
      <c r="L16" s="7" t="n">
        <v>42</v>
      </c>
      <c r="M16" s="7" t="n">
        <v>35</v>
      </c>
      <c r="N16" s="7" t="n">
        <v>56</v>
      </c>
      <c r="O16" s="7" t="n">
        <v>75</v>
      </c>
      <c r="P16" s="7" t="n">
        <v>104</v>
      </c>
      <c r="Q16" s="7" t="n">
        <v>97</v>
      </c>
      <c r="R16" s="7" t="n">
        <v>80</v>
      </c>
      <c r="S16" s="7" t="n">
        <v>77</v>
      </c>
      <c r="T16" s="7" t="n">
        <v>95</v>
      </c>
      <c r="U16" s="7" t="n">
        <v>137</v>
      </c>
      <c r="V16" s="7" t="n">
        <v>187</v>
      </c>
      <c r="W16" s="7" t="n">
        <v>163</v>
      </c>
      <c r="X16" s="7" t="n">
        <v>134</v>
      </c>
      <c r="Y16" s="7" t="n">
        <v>113</v>
      </c>
      <c r="Z16" s="7" t="n">
        <v>159</v>
      </c>
      <c r="AA16" s="7" t="n">
        <v>200</v>
      </c>
      <c r="AB16" s="7" t="n">
        <v>262</v>
      </c>
      <c r="AC16" s="7" t="n">
        <v>231</v>
      </c>
      <c r="AD16" s="7" t="n">
        <v>179</v>
      </c>
      <c r="AE16" s="7" t="n">
        <v>163</v>
      </c>
      <c r="AF16" s="7" t="n">
        <v>189</v>
      </c>
      <c r="AG16" s="7" t="n">
        <v>260</v>
      </c>
      <c r="AH16" s="7" t="n">
        <v>335</v>
      </c>
      <c r="AI16" s="7" t="n">
        <v>276</v>
      </c>
      <c r="AJ16" s="7" t="n">
        <v>213</v>
      </c>
      <c r="AK16" s="7" t="n">
        <v>171</v>
      </c>
      <c r="AL16" s="7" t="n">
        <v>226</v>
      </c>
      <c r="AM16" s="7" t="n">
        <v>282</v>
      </c>
      <c r="AN16" s="7" t="n">
        <v>366</v>
      </c>
      <c r="AO16" s="7" t="n">
        <v>320</v>
      </c>
      <c r="AP16" s="36" t="n">
        <f aca="false">SUM(F16:M16)</f>
        <v>173</v>
      </c>
      <c r="AQ16" s="36" t="n">
        <f aca="false">SUM(N16:Y16)</f>
        <v>1318</v>
      </c>
      <c r="AR16" s="36" t="n">
        <f aca="false">SUM(Z16:AK16)</f>
        <v>2638</v>
      </c>
      <c r="AS16" s="36" t="n">
        <f aca="false">SUM(AL16:AO16)</f>
        <v>1194</v>
      </c>
      <c r="AT16" s="17" t="s">
        <v>396</v>
      </c>
    </row>
    <row r="17" customFormat="false" ht="15" hidden="false" customHeight="false" outlineLevel="0" collapsed="false">
      <c r="A17" s="17" t="s">
        <v>385</v>
      </c>
      <c r="B17" s="2" t="s">
        <v>397</v>
      </c>
      <c r="C17" s="2" t="s">
        <v>376</v>
      </c>
      <c r="D17" s="2" t="s">
        <v>398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6</v>
      </c>
      <c r="L17" s="7" t="n">
        <v>12</v>
      </c>
      <c r="M17" s="7" t="n">
        <v>16</v>
      </c>
      <c r="N17" s="7" t="n">
        <v>19</v>
      </c>
      <c r="O17" s="7" t="n">
        <v>23</v>
      </c>
      <c r="P17" s="7" t="n">
        <v>28</v>
      </c>
      <c r="Q17" s="7" t="n">
        <v>37</v>
      </c>
      <c r="R17" s="7" t="n">
        <v>43</v>
      </c>
      <c r="S17" s="7" t="n">
        <v>47</v>
      </c>
      <c r="T17" s="7" t="n">
        <v>49</v>
      </c>
      <c r="U17" s="7" t="n">
        <v>54</v>
      </c>
      <c r="V17" s="7" t="n">
        <v>63</v>
      </c>
      <c r="W17" s="7" t="n">
        <v>76</v>
      </c>
      <c r="X17" s="7" t="n">
        <v>85</v>
      </c>
      <c r="Y17" s="7" t="n">
        <v>89</v>
      </c>
      <c r="Z17" s="7" t="n">
        <v>79</v>
      </c>
      <c r="AA17" s="7" t="n">
        <v>86</v>
      </c>
      <c r="AB17" s="7" t="n">
        <v>96</v>
      </c>
      <c r="AC17" s="7" t="n">
        <v>111</v>
      </c>
      <c r="AD17" s="7" t="n">
        <v>122</v>
      </c>
      <c r="AE17" s="7" t="n">
        <v>126</v>
      </c>
      <c r="AF17" s="7" t="n">
        <v>128</v>
      </c>
      <c r="AG17" s="7" t="n">
        <v>132</v>
      </c>
      <c r="AH17" s="7" t="n">
        <v>143</v>
      </c>
      <c r="AI17" s="7" t="n">
        <v>161</v>
      </c>
      <c r="AJ17" s="7" t="n">
        <v>170</v>
      </c>
      <c r="AK17" s="7" t="n">
        <v>172</v>
      </c>
      <c r="AL17" s="7" t="n">
        <v>170</v>
      </c>
      <c r="AM17" s="7" t="n">
        <v>173</v>
      </c>
      <c r="AN17" s="7" t="n">
        <v>181</v>
      </c>
      <c r="AO17" s="7" t="n">
        <v>198</v>
      </c>
      <c r="AP17" s="36" t="n">
        <f aca="false">SUM(F17:M17)</f>
        <v>34</v>
      </c>
      <c r="AQ17" s="36" t="n">
        <f aca="false">SUM(N17:Y17)</f>
        <v>613</v>
      </c>
      <c r="AR17" s="36" t="n">
        <f aca="false">SUM(Z17:AK17)</f>
        <v>1526</v>
      </c>
      <c r="AS17" s="36" t="n">
        <f aca="false">SUM(AL17:AO17)</f>
        <v>722</v>
      </c>
      <c r="AT17" s="2" t="s">
        <v>399</v>
      </c>
    </row>
    <row r="18" customFormat="false" ht="15" hidden="false" customHeight="false" outlineLevel="0" collapsed="false">
      <c r="A18" s="27" t="s">
        <v>385</v>
      </c>
      <c r="B18" s="2" t="s">
        <v>400</v>
      </c>
      <c r="C18" s="17" t="s">
        <v>401</v>
      </c>
      <c r="D18" s="2"/>
      <c r="F18" s="31" t="n">
        <f aca="false">0</f>
        <v>0</v>
      </c>
      <c r="G18" s="31" t="n">
        <f aca="false">IF((F11+F12)=0,0,G17/(F11+F12))</f>
        <v>0</v>
      </c>
      <c r="H18" s="31" t="n">
        <f aca="false">IF((G11+G12)=0,0,H17/(G11+G12))</f>
        <v>0</v>
      </c>
      <c r="I18" s="31" t="n">
        <f aca="false">IF((H11+H12)=0,0,I17/(H11+H12))</f>
        <v>0</v>
      </c>
      <c r="J18" s="31" t="n">
        <f aca="false">IF((I11+I12)=0,0,J17/(I11+I12))</f>
        <v>0</v>
      </c>
      <c r="K18" s="31" t="n">
        <f aca="false">IF((J11+J12)=0,0,K17/(J11+J12))</f>
        <v>0.133333333333333</v>
      </c>
      <c r="L18" s="31" t="n">
        <f aca="false">IF((K11+K12)=0,0,L17/(K11+K12))</f>
        <v>0.133333333333333</v>
      </c>
      <c r="M18" s="31" t="n">
        <f aca="false">IF((L11+L12)=0,0,M17/(L11+L12))</f>
        <v>0.134453781512605</v>
      </c>
      <c r="N18" s="31" t="n">
        <f aca="false">IF((M11+M12)=0,0,N17/(M11+M12))</f>
        <v>0.13768115942029</v>
      </c>
      <c r="O18" s="31" t="n">
        <f aca="false">IF((N11+N12)=0,0,O17/(N11+N12))</f>
        <v>0.135294117647059</v>
      </c>
      <c r="P18" s="31" t="n">
        <f aca="false">IF((O11+O12)=0,0,P17/(O11+O12))</f>
        <v>0.131455399061033</v>
      </c>
      <c r="Q18" s="31" t="n">
        <f aca="false">IF((P11+P12)=0,0,Q17/(P11+P12))</f>
        <v>0.134057971014493</v>
      </c>
      <c r="R18" s="31" t="n">
        <f aca="false">IF((Q11+Q12)=0,0,R17/(Q11+Q12))</f>
        <v>0.132307692307692</v>
      </c>
      <c r="S18" s="31" t="n">
        <f aca="false">IF((R11+R12)=0,0,S17/(R11+R12))</f>
        <v>0.133522727272727</v>
      </c>
      <c r="T18" s="31" t="n">
        <f aca="false">IF((S11+S12)=0,0,T17/(S11+S12))</f>
        <v>0.131720430107527</v>
      </c>
      <c r="U18" s="31" t="n">
        <f aca="false">IF((T11+T12)=0,0,U17/(T11+T12))</f>
        <v>0.133004926108374</v>
      </c>
      <c r="V18" s="31" t="n">
        <f aca="false">IF((U11+U12)=0,0,V17/(U11+U12))</f>
        <v>0.133192389006343</v>
      </c>
      <c r="W18" s="31" t="n">
        <f aca="false">IF((V11+V12)=0,0,W17/(V11+V12))</f>
        <v>0.132173913043478</v>
      </c>
      <c r="X18" s="31" t="n">
        <f aca="false">IF((W11+W12)=0,0,X17/(W11+W12))</f>
        <v>0.132398753894081</v>
      </c>
      <c r="Y18" s="31" t="n">
        <f aca="false">IF((X11+X12)=0,0,Y17/(X11+X12))</f>
        <v>0.132047477744807</v>
      </c>
      <c r="Z18" s="31" t="n">
        <f aca="false">IF((Y11+Y12)=0,0,Z17/(Y11+Y12))</f>
        <v>0.115328467153285</v>
      </c>
      <c r="AA18" s="31" t="n">
        <f aca="false">IF((Z11+Z12)=0,0,AA17/(Z11+Z12))</f>
        <v>0.115436241610738</v>
      </c>
      <c r="AB18" s="31" t="n">
        <f aca="false">IF((AA11+AA12)=0,0,AB17/(AA11+AA12))</f>
        <v>0.115107913669065</v>
      </c>
      <c r="AC18" s="31" t="n">
        <f aca="false">IF((AB11+AB12)=0,0,AC17/(AB11+AB12))</f>
        <v>0.114669421487603</v>
      </c>
      <c r="AD18" s="31" t="n">
        <f aca="false">IF((AC11+AC12)=0,0,AD17/(AC11+AC12))</f>
        <v>0.115094339622642</v>
      </c>
      <c r="AE18" s="31" t="n">
        <f aca="false">IF((AD11+AD12)=0,0,AE17/(AD11+AD12))</f>
        <v>0.115068493150685</v>
      </c>
      <c r="AF18" s="31" t="n">
        <f aca="false">IF((AE11+AE12)=0,0,AF17/(AE11+AE12))</f>
        <v>0.115004492362983</v>
      </c>
      <c r="AG18" s="31" t="n">
        <f aca="false">IF((AF11+AF12)=0,0,AG17/(AF11+AF12))</f>
        <v>0.114682884448306</v>
      </c>
      <c r="AH18" s="31" t="n">
        <f aca="false">IF((AG11+AG12)=0,0,AH17/(AG11+AG12))</f>
        <v>0.114583333333333</v>
      </c>
      <c r="AI18" s="31" t="n">
        <f aca="false">IF((AH11+AH12)=0,0,AI17/(AH11+AH12))</f>
        <v>0.11516452074392</v>
      </c>
      <c r="AJ18" s="31" t="n">
        <f aca="false">IF((AI11+AI12)=0,0,AJ17/(AI11+AI12))</f>
        <v>0.114864864864865</v>
      </c>
      <c r="AK18" s="31" t="n">
        <f aca="false">IF((AJ11+AJ12)=0,0,AK17/(AJ11+AJ12))</f>
        <v>0.114896459585838</v>
      </c>
      <c r="AL18" s="31" t="n">
        <f aca="false">IF((AK11+AK12)=0,0,AL17/(AK11+AK12))</f>
        <v>0.115254237288136</v>
      </c>
      <c r="AM18" s="31" t="n">
        <f aca="false">IF((AL11+AL12)=0,0,AM17/(AL11+AL12))</f>
        <v>0.114950166112957</v>
      </c>
      <c r="AN18" s="31" t="n">
        <f aca="false">IF((AM11+AM12)=0,0,AN17/(AM11+AM12))</f>
        <v>0.114629512349588</v>
      </c>
      <c r="AO18" s="31" t="n">
        <f aca="false">IF((AN11+AN12)=0,0,AO17/(AN11+AN12))</f>
        <v>0.115116279069767</v>
      </c>
      <c r="AP18" s="31"/>
      <c r="AQ18" s="31"/>
      <c r="AR18" s="31"/>
      <c r="AS18" s="31"/>
      <c r="AT18" s="2"/>
    </row>
    <row r="19" customFormat="false" ht="15" hidden="false" customHeight="false" outlineLevel="0" collapsed="false">
      <c r="A19" s="17" t="s">
        <v>385</v>
      </c>
      <c r="B19" s="2" t="s">
        <v>402</v>
      </c>
      <c r="C19" s="2" t="s">
        <v>403</v>
      </c>
      <c r="D19" s="2" t="s">
        <v>404</v>
      </c>
      <c r="F19" s="7" t="n">
        <v>0</v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0</v>
      </c>
      <c r="N19" s="7" t="n">
        <v>0</v>
      </c>
      <c r="O19" s="7" t="n">
        <v>0</v>
      </c>
      <c r="P19" s="7" t="n">
        <v>100</v>
      </c>
      <c r="Q19" s="7" t="n">
        <v>100</v>
      </c>
      <c r="R19" s="7" t="n">
        <v>100</v>
      </c>
      <c r="S19" s="7" t="n">
        <v>100</v>
      </c>
      <c r="T19" s="7" t="n">
        <v>100</v>
      </c>
      <c r="U19" s="7" t="n">
        <v>100</v>
      </c>
      <c r="V19" s="7" t="n">
        <v>180</v>
      </c>
      <c r="W19" s="7" t="n">
        <v>180</v>
      </c>
      <c r="X19" s="7" t="n">
        <v>180</v>
      </c>
      <c r="Y19" s="7" t="n">
        <v>180</v>
      </c>
      <c r="Z19" s="7" t="n">
        <v>180</v>
      </c>
      <c r="AA19" s="7" t="n">
        <v>180</v>
      </c>
      <c r="AB19" s="7" t="n">
        <v>360</v>
      </c>
      <c r="AC19" s="7" t="n">
        <v>360</v>
      </c>
      <c r="AD19" s="7" t="n">
        <v>360</v>
      </c>
      <c r="AE19" s="7" t="n">
        <v>360</v>
      </c>
      <c r="AF19" s="7" t="n">
        <v>360</v>
      </c>
      <c r="AG19" s="7" t="n">
        <v>360</v>
      </c>
      <c r="AH19" s="7" t="n">
        <v>494</v>
      </c>
      <c r="AI19" s="7" t="n">
        <v>494</v>
      </c>
      <c r="AJ19" s="7" t="n">
        <v>494</v>
      </c>
      <c r="AK19" s="7" t="n">
        <v>494</v>
      </c>
      <c r="AL19" s="7" t="n">
        <v>494</v>
      </c>
      <c r="AM19" s="7" t="n">
        <v>494</v>
      </c>
      <c r="AN19" s="7" t="n">
        <v>438</v>
      </c>
      <c r="AO19" s="7" t="n">
        <v>438</v>
      </c>
      <c r="AP19" s="36" t="n">
        <f aca="false">M19</f>
        <v>0</v>
      </c>
      <c r="AQ19" s="36" t="n">
        <f aca="false">Y19</f>
        <v>180</v>
      </c>
      <c r="AR19" s="36" t="n">
        <f aca="false">AK19</f>
        <v>494</v>
      </c>
      <c r="AS19" s="36" t="n">
        <f aca="false">AO19</f>
        <v>438</v>
      </c>
      <c r="AT19" s="2" t="s">
        <v>405</v>
      </c>
    </row>
    <row r="20" customFormat="false" ht="15" hidden="false" customHeight="false" outlineLevel="0" collapsed="false">
      <c r="A20" s="17" t="s">
        <v>385</v>
      </c>
      <c r="B20" s="2" t="s">
        <v>406</v>
      </c>
      <c r="C20" s="2" t="s">
        <v>403</v>
      </c>
      <c r="D20" s="2" t="s">
        <v>404</v>
      </c>
      <c r="F20" s="7" t="n">
        <v>0</v>
      </c>
      <c r="G20" s="7" t="n">
        <v>0</v>
      </c>
      <c r="H20" s="7" t="n">
        <v>0</v>
      </c>
      <c r="I20" s="7" t="n">
        <v>0</v>
      </c>
      <c r="J20" s="7" t="n">
        <v>0</v>
      </c>
      <c r="K20" s="7" t="n">
        <v>0</v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</v>
      </c>
      <c r="Q20" s="7" t="n">
        <v>0</v>
      </c>
      <c r="R20" s="7" t="n">
        <v>0</v>
      </c>
      <c r="S20" s="7" t="n">
        <v>0</v>
      </c>
      <c r="T20" s="7" t="n">
        <v>0</v>
      </c>
      <c r="U20" s="7" t="n">
        <v>0</v>
      </c>
      <c r="V20" s="7" t="n">
        <v>0</v>
      </c>
      <c r="W20" s="7" t="n">
        <v>0</v>
      </c>
      <c r="X20" s="7" t="n">
        <v>0</v>
      </c>
      <c r="Y20" s="7" t="n">
        <v>0</v>
      </c>
      <c r="Z20" s="7" t="n">
        <v>0</v>
      </c>
      <c r="AA20" s="7" t="n">
        <v>0</v>
      </c>
      <c r="AB20" s="7" t="n">
        <v>40</v>
      </c>
      <c r="AC20" s="7" t="n">
        <v>40</v>
      </c>
      <c r="AD20" s="7" t="n">
        <v>40</v>
      </c>
      <c r="AE20" s="7" t="n">
        <v>40</v>
      </c>
      <c r="AF20" s="7" t="n">
        <v>40</v>
      </c>
      <c r="AG20" s="7" t="n">
        <v>40</v>
      </c>
      <c r="AH20" s="7" t="n">
        <v>40</v>
      </c>
      <c r="AI20" s="7" t="n">
        <v>40</v>
      </c>
      <c r="AJ20" s="7" t="n">
        <v>40</v>
      </c>
      <c r="AK20" s="7" t="n">
        <v>40</v>
      </c>
      <c r="AL20" s="7" t="n">
        <v>40</v>
      </c>
      <c r="AM20" s="7" t="n">
        <v>40</v>
      </c>
      <c r="AN20" s="7" t="n">
        <v>32</v>
      </c>
      <c r="AO20" s="7" t="n">
        <v>32</v>
      </c>
      <c r="AP20" s="36" t="n">
        <f aca="false">M20</f>
        <v>0</v>
      </c>
      <c r="AQ20" s="36" t="n">
        <f aca="false">Y20</f>
        <v>0</v>
      </c>
      <c r="AR20" s="36" t="n">
        <f aca="false">AK20</f>
        <v>40</v>
      </c>
      <c r="AS20" s="36" t="n">
        <f aca="false">AO20</f>
        <v>32</v>
      </c>
      <c r="AT20" s="2"/>
    </row>
    <row r="21" customFormat="false" ht="15" hidden="false" customHeight="false" outlineLevel="0" collapsed="false">
      <c r="A21" s="17" t="s">
        <v>385</v>
      </c>
      <c r="B21" s="2" t="s">
        <v>407</v>
      </c>
      <c r="C21" s="2" t="s">
        <v>403</v>
      </c>
      <c r="D21" s="2" t="s">
        <v>408</v>
      </c>
      <c r="F21" s="7" t="n">
        <v>0</v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  <c r="N21" s="7" t="n">
        <v>0</v>
      </c>
      <c r="O21" s="7" t="n">
        <v>0</v>
      </c>
      <c r="P21" s="7" t="n">
        <v>0</v>
      </c>
      <c r="Q21" s="7" t="n">
        <v>0</v>
      </c>
      <c r="R21" s="7" t="n">
        <v>10</v>
      </c>
      <c r="S21" s="7" t="n">
        <v>13</v>
      </c>
      <c r="T21" s="7" t="n">
        <v>16</v>
      </c>
      <c r="U21" s="7" t="n">
        <v>19</v>
      </c>
      <c r="V21" s="7" t="n">
        <v>22</v>
      </c>
      <c r="W21" s="7" t="n">
        <v>25</v>
      </c>
      <c r="X21" s="7" t="n">
        <v>28</v>
      </c>
      <c r="Y21" s="7" t="n">
        <v>31</v>
      </c>
      <c r="Z21" s="7" t="n">
        <v>34</v>
      </c>
      <c r="AA21" s="7" t="n">
        <v>37</v>
      </c>
      <c r="AB21" s="7" t="n">
        <v>40</v>
      </c>
      <c r="AC21" s="7" t="n">
        <v>43</v>
      </c>
      <c r="AD21" s="7" t="n">
        <v>46</v>
      </c>
      <c r="AE21" s="7" t="n">
        <v>49</v>
      </c>
      <c r="AF21" s="7" t="n">
        <v>52</v>
      </c>
      <c r="AG21" s="7" t="n">
        <v>55</v>
      </c>
      <c r="AH21" s="7" t="n">
        <v>58</v>
      </c>
      <c r="AI21" s="7" t="n">
        <v>60</v>
      </c>
      <c r="AJ21" s="7" t="n">
        <v>60</v>
      </c>
      <c r="AK21" s="7" t="n">
        <v>60</v>
      </c>
      <c r="AL21" s="7" t="n">
        <v>60</v>
      </c>
      <c r="AM21" s="7" t="n">
        <v>60</v>
      </c>
      <c r="AN21" s="7" t="n">
        <v>60</v>
      </c>
      <c r="AO21" s="7" t="n">
        <v>60</v>
      </c>
      <c r="AP21" s="36" t="n">
        <f aca="false">M21</f>
        <v>0</v>
      </c>
      <c r="AQ21" s="36" t="n">
        <f aca="false">Y21</f>
        <v>31</v>
      </c>
      <c r="AR21" s="36" t="n">
        <f aca="false">AK21</f>
        <v>60</v>
      </c>
      <c r="AS21" s="36" t="n">
        <f aca="false">AO21</f>
        <v>60</v>
      </c>
      <c r="AT21" s="2"/>
    </row>
    <row r="22" customFormat="false" ht="15" hidden="false" customHeight="false" outlineLevel="0" collapsed="false">
      <c r="A22" s="17" t="s">
        <v>385</v>
      </c>
      <c r="B22" s="2" t="s">
        <v>409</v>
      </c>
      <c r="C22" s="2" t="s">
        <v>403</v>
      </c>
      <c r="D22" s="2" t="s">
        <v>408</v>
      </c>
      <c r="F22" s="7" t="n">
        <v>0</v>
      </c>
      <c r="G22" s="7" t="n">
        <v>0</v>
      </c>
      <c r="H22" s="7" t="n">
        <v>0</v>
      </c>
      <c r="I22" s="7" t="n">
        <v>0</v>
      </c>
      <c r="J22" s="7" t="n">
        <v>0</v>
      </c>
      <c r="K22" s="7" t="n">
        <v>0</v>
      </c>
      <c r="L22" s="7" t="n">
        <v>0</v>
      </c>
      <c r="M22" s="7" t="n">
        <v>0</v>
      </c>
      <c r="N22" s="7" t="n">
        <v>0</v>
      </c>
      <c r="O22" s="7" t="n">
        <v>0</v>
      </c>
      <c r="P22" s="7" t="n">
        <v>0</v>
      </c>
      <c r="Q22" s="7" t="n">
        <v>0</v>
      </c>
      <c r="R22" s="7" t="n">
        <v>0</v>
      </c>
      <c r="S22" s="7" t="n">
        <v>0</v>
      </c>
      <c r="T22" s="7" t="n">
        <v>0</v>
      </c>
      <c r="U22" s="7" t="n">
        <v>5</v>
      </c>
      <c r="V22" s="7" t="n">
        <v>6</v>
      </c>
      <c r="W22" s="7" t="n">
        <v>7</v>
      </c>
      <c r="X22" s="7" t="n">
        <v>8</v>
      </c>
      <c r="Y22" s="7" t="n">
        <v>9</v>
      </c>
      <c r="Z22" s="7" t="n">
        <v>10</v>
      </c>
      <c r="AA22" s="7" t="n">
        <v>11</v>
      </c>
      <c r="AB22" s="7" t="n">
        <v>12</v>
      </c>
      <c r="AC22" s="7" t="n">
        <v>13</v>
      </c>
      <c r="AD22" s="7" t="n">
        <v>14</v>
      </c>
      <c r="AE22" s="7" t="n">
        <v>15</v>
      </c>
      <c r="AF22" s="7" t="n">
        <v>16</v>
      </c>
      <c r="AG22" s="7" t="n">
        <v>17</v>
      </c>
      <c r="AH22" s="7" t="n">
        <v>18</v>
      </c>
      <c r="AI22" s="7" t="n">
        <v>19</v>
      </c>
      <c r="AJ22" s="7" t="n">
        <v>20</v>
      </c>
      <c r="AK22" s="7" t="n">
        <v>20</v>
      </c>
      <c r="AL22" s="7" t="n">
        <v>20</v>
      </c>
      <c r="AM22" s="7" t="n">
        <v>20</v>
      </c>
      <c r="AN22" s="7" t="n">
        <v>20</v>
      </c>
      <c r="AO22" s="7" t="n">
        <v>20</v>
      </c>
      <c r="AP22" s="36" t="n">
        <f aca="false">M22</f>
        <v>0</v>
      </c>
      <c r="AQ22" s="36" t="n">
        <f aca="false">Y22</f>
        <v>9</v>
      </c>
      <c r="AR22" s="36" t="n">
        <f aca="false">AK22</f>
        <v>20</v>
      </c>
      <c r="AS22" s="36" t="n">
        <f aca="false">AO22</f>
        <v>20</v>
      </c>
      <c r="AT22" s="2"/>
    </row>
    <row r="23" customFormat="false" ht="15" hidden="false" customHeight="false" outlineLevel="0" collapsed="false">
      <c r="A23" s="17" t="s">
        <v>385</v>
      </c>
      <c r="B23" s="2" t="s">
        <v>410</v>
      </c>
      <c r="C23" s="2" t="s">
        <v>376</v>
      </c>
      <c r="D23" s="2" t="s">
        <v>411</v>
      </c>
      <c r="F23" s="7" t="n">
        <v>0</v>
      </c>
      <c r="G23" s="7" t="n">
        <v>0</v>
      </c>
      <c r="H23" s="7" t="n">
        <v>0</v>
      </c>
      <c r="I23" s="7" t="n">
        <v>0</v>
      </c>
      <c r="J23" s="7" t="n">
        <v>315</v>
      </c>
      <c r="K23" s="7" t="n">
        <v>630</v>
      </c>
      <c r="L23" s="7" t="n">
        <v>833</v>
      </c>
      <c r="M23" s="7" t="n">
        <v>966</v>
      </c>
      <c r="N23" s="7" t="n">
        <v>1239</v>
      </c>
      <c r="O23" s="7" t="n">
        <v>1603</v>
      </c>
      <c r="P23" s="7" t="n">
        <v>2135</v>
      </c>
      <c r="Q23" s="7" t="n">
        <v>2562</v>
      </c>
      <c r="R23" s="7" t="n">
        <v>2814</v>
      </c>
      <c r="S23" s="7" t="n">
        <v>3024</v>
      </c>
      <c r="T23" s="7" t="n">
        <v>3339</v>
      </c>
      <c r="U23" s="7" t="n">
        <v>3927</v>
      </c>
      <c r="V23" s="7" t="n">
        <v>4802</v>
      </c>
      <c r="W23" s="7" t="n">
        <v>5404</v>
      </c>
      <c r="X23" s="7" t="n">
        <v>5747</v>
      </c>
      <c r="Y23" s="7" t="n">
        <v>5915</v>
      </c>
      <c r="Z23" s="7" t="n">
        <v>6447</v>
      </c>
      <c r="AA23" s="7" t="n">
        <v>7203</v>
      </c>
      <c r="AB23" s="7" t="n">
        <v>8316</v>
      </c>
      <c r="AC23" s="7" t="n">
        <v>9114</v>
      </c>
      <c r="AD23" s="7" t="n">
        <v>9471</v>
      </c>
      <c r="AE23" s="7" t="n">
        <v>9702</v>
      </c>
      <c r="AF23" s="7" t="n">
        <v>10087</v>
      </c>
      <c r="AG23" s="7" t="n">
        <v>10920</v>
      </c>
      <c r="AH23" s="7" t="n">
        <v>12166</v>
      </c>
      <c r="AI23" s="7" t="n">
        <v>12901</v>
      </c>
      <c r="AJ23" s="7" t="n">
        <v>13139</v>
      </c>
      <c r="AK23" s="7" t="n">
        <v>13076</v>
      </c>
      <c r="AL23" s="7" t="n">
        <v>13391</v>
      </c>
      <c r="AM23" s="7" t="n">
        <v>14042</v>
      </c>
      <c r="AN23" s="7" t="n">
        <v>15197</v>
      </c>
      <c r="AO23" s="7" t="n">
        <v>15918</v>
      </c>
      <c r="AP23" s="36" t="n">
        <f aca="false">M23</f>
        <v>966</v>
      </c>
      <c r="AQ23" s="36" t="n">
        <f aca="false">Y23</f>
        <v>5915</v>
      </c>
      <c r="AR23" s="36" t="n">
        <f aca="false">AK23</f>
        <v>13076</v>
      </c>
      <c r="AS23" s="36" t="n">
        <f aca="false">AO23</f>
        <v>15918</v>
      </c>
      <c r="AT23" s="2" t="s">
        <v>412</v>
      </c>
    </row>
    <row r="24" customFormat="false" ht="15" hidden="false" customHeight="false" outlineLevel="0" collapsed="false">
      <c r="A24" s="27" t="s">
        <v>385</v>
      </c>
      <c r="B24" s="17" t="s">
        <v>413</v>
      </c>
      <c r="C24" s="2" t="s">
        <v>384</v>
      </c>
      <c r="D24" s="2"/>
      <c r="F24" s="8" t="n">
        <f aca="false">SUM('매출(Revenue)'!F5:F12)</f>
        <v>0</v>
      </c>
      <c r="G24" s="8" t="n">
        <f aca="false">SUM('매출(Revenue)'!G5:G12)</f>
        <v>0</v>
      </c>
      <c r="H24" s="8" t="n">
        <f aca="false">SUM('매출(Revenue)'!H5:H12)</f>
        <v>0</v>
      </c>
      <c r="I24" s="8" t="n">
        <f aca="false">SUM('매출(Revenue)'!I5:I12)</f>
        <v>0</v>
      </c>
      <c r="J24" s="8" t="n">
        <f aca="false">SUM('매출(Revenue)'!J5:J12)</f>
        <v>810000</v>
      </c>
      <c r="K24" s="8" t="n">
        <f aca="false">SUM('매출(Revenue)'!K5:K12)</f>
        <v>1836000</v>
      </c>
      <c r="L24" s="8" t="n">
        <f aca="false">SUM('매출(Revenue)'!L5:L12)</f>
        <v>2502000</v>
      </c>
      <c r="M24" s="8" t="n">
        <f aca="false">SUM('매출(Revenue)'!M5:M12)</f>
        <v>2952000</v>
      </c>
      <c r="N24" s="8" t="n">
        <f aca="false">SUM('매출(Revenue)'!N5:N12)</f>
        <v>3825000</v>
      </c>
      <c r="O24" s="8" t="n">
        <f aca="false">SUM('매출(Revenue)'!O5:O12)</f>
        <v>4977000</v>
      </c>
      <c r="P24" s="8" t="n">
        <f aca="false">SUM('매출(Revenue)'!P5:P12)</f>
        <v>7919000</v>
      </c>
      <c r="Q24" s="8" t="n">
        <f aca="false">SUM('매출(Revenue)'!Q5:Q12)</f>
        <v>9275000</v>
      </c>
      <c r="R24" s="8" t="n">
        <f aca="false">SUM('매출(Revenue)'!R5:R12)</f>
        <v>10245000</v>
      </c>
      <c r="S24" s="8" t="n">
        <f aca="false">SUM('매출(Revenue)'!S5:S12)</f>
        <v>10956000</v>
      </c>
      <c r="T24" s="8" t="n">
        <f aca="false">SUM('매출(Revenue)'!T5:T12)</f>
        <v>12021000</v>
      </c>
      <c r="U24" s="8" t="n">
        <f aca="false">SUM('매출(Revenue)'!U5:U12)</f>
        <v>14071000</v>
      </c>
      <c r="V24" s="8" t="n">
        <f aca="false">SUM('매출(Revenue)'!V5:V12)</f>
        <v>17902000</v>
      </c>
      <c r="W24" s="8" t="n">
        <f aca="false">SUM('매출(Revenue)'!W5:W12)</f>
        <v>19887000</v>
      </c>
      <c r="X24" s="8" t="n">
        <f aca="false">SUM('매출(Revenue)'!X5:X12)</f>
        <v>21050000</v>
      </c>
      <c r="Y24" s="8" t="n">
        <f aca="false">SUM('매출(Revenue)'!Y5:Y12)</f>
        <v>21673000</v>
      </c>
      <c r="Z24" s="8" t="n">
        <f aca="false">SUM('매출(Revenue)'!Z5:Z12)</f>
        <v>23433000</v>
      </c>
      <c r="AA24" s="8" t="n">
        <f aca="false">SUM('매출(Revenue)'!AA5:AA12)</f>
        <v>25868000</v>
      </c>
      <c r="AB24" s="8" t="n">
        <f aca="false">SUM('매출(Revenue)'!AB5:AB12)</f>
        <v>32681000</v>
      </c>
      <c r="AC24" s="8" t="n">
        <f aca="false">SUM('매출(Revenue)'!AC5:AC12)</f>
        <v>35281000</v>
      </c>
      <c r="AD24" s="8" t="n">
        <f aca="false">SUM('매출(Revenue)'!AD5:AD12)</f>
        <v>36486000</v>
      </c>
      <c r="AE24" s="8" t="n">
        <f aca="false">SUM('매출(Revenue)'!AE5:AE12)</f>
        <v>37298000</v>
      </c>
      <c r="AF24" s="8" t="n">
        <f aca="false">SUM('매출(Revenue)'!AF5:AF12)</f>
        <v>38587000</v>
      </c>
      <c r="AG24" s="8" t="n">
        <f aca="false">SUM('매출(Revenue)'!AG5:AG12)</f>
        <v>41280000</v>
      </c>
      <c r="AH24" s="8" t="n">
        <f aca="false">SUM('매출(Revenue)'!AH5:AH12)</f>
        <v>46938000</v>
      </c>
      <c r="AI24" s="8" t="n">
        <f aca="false">SUM('매출(Revenue)'!AI5:AI12)</f>
        <v>49321000</v>
      </c>
      <c r="AJ24" s="8" t="n">
        <f aca="false">SUM('매출(Revenue)'!AJ5:AJ12)</f>
        <v>50112000</v>
      </c>
      <c r="AK24" s="8" t="n">
        <f aca="false">SUM('매출(Revenue)'!AK5:AK12)</f>
        <v>49917000</v>
      </c>
      <c r="AL24" s="8" t="n">
        <f aca="false">SUM('매출(Revenue)'!AL5:AL12)</f>
        <v>50919000</v>
      </c>
      <c r="AM24" s="8" t="n">
        <f aca="false">SUM('매출(Revenue)'!AM5:AM12)</f>
        <v>52968000</v>
      </c>
      <c r="AN24" s="8" t="n">
        <f aca="false">SUM('매출(Revenue)'!AN5:AN12)</f>
        <v>55698000</v>
      </c>
      <c r="AO24" s="8" t="n">
        <f aca="false">SUM('매출(Revenue)'!AO5:AO12)</f>
        <v>57975000</v>
      </c>
      <c r="AP24" s="8" t="n">
        <f aca="false">M24</f>
        <v>2952000</v>
      </c>
      <c r="AQ24" s="8" t="n">
        <f aca="false">Y24</f>
        <v>21673000</v>
      </c>
      <c r="AR24" s="8" t="n">
        <f aca="false">AK24</f>
        <v>49917000</v>
      </c>
      <c r="AS24" s="8" t="n">
        <f aca="false">AO24</f>
        <v>57975000</v>
      </c>
      <c r="AT24" s="2" t="s">
        <v>414</v>
      </c>
    </row>
    <row r="25" customFormat="false" ht="15" hidden="false" customHeight="false" outlineLevel="0" collapsed="false">
      <c r="A25" s="27" t="s">
        <v>385</v>
      </c>
      <c r="B25" s="17" t="s">
        <v>415</v>
      </c>
      <c r="C25" s="2" t="s">
        <v>384</v>
      </c>
      <c r="D25" s="2"/>
      <c r="F25" s="9" t="n">
        <f aca="false">F24*12</f>
        <v>0</v>
      </c>
      <c r="G25" s="9" t="n">
        <f aca="false">G24*12</f>
        <v>0</v>
      </c>
      <c r="H25" s="9" t="n">
        <f aca="false">H24*12</f>
        <v>0</v>
      </c>
      <c r="I25" s="9" t="n">
        <f aca="false">I24*12</f>
        <v>0</v>
      </c>
      <c r="J25" s="9" t="n">
        <f aca="false">J24*12</f>
        <v>9720000</v>
      </c>
      <c r="K25" s="9" t="n">
        <f aca="false">K24*12</f>
        <v>22032000</v>
      </c>
      <c r="L25" s="9" t="n">
        <f aca="false">L24*12</f>
        <v>30024000</v>
      </c>
      <c r="M25" s="9" t="n">
        <f aca="false">M24*12</f>
        <v>35424000</v>
      </c>
      <c r="N25" s="9" t="n">
        <f aca="false">N24*12</f>
        <v>45900000</v>
      </c>
      <c r="O25" s="9" t="n">
        <f aca="false">O24*12</f>
        <v>59724000</v>
      </c>
      <c r="P25" s="9" t="n">
        <f aca="false">P24*12</f>
        <v>95028000</v>
      </c>
      <c r="Q25" s="9" t="n">
        <f aca="false">Q24*12</f>
        <v>111300000</v>
      </c>
      <c r="R25" s="9" t="n">
        <f aca="false">R24*12</f>
        <v>122940000</v>
      </c>
      <c r="S25" s="9" t="n">
        <f aca="false">S24*12</f>
        <v>131472000</v>
      </c>
      <c r="T25" s="9" t="n">
        <f aca="false">T24*12</f>
        <v>144252000</v>
      </c>
      <c r="U25" s="9" t="n">
        <f aca="false">U24*12</f>
        <v>168852000</v>
      </c>
      <c r="V25" s="9" t="n">
        <f aca="false">V24*12</f>
        <v>214824000</v>
      </c>
      <c r="W25" s="9" t="n">
        <f aca="false">W24*12</f>
        <v>238644000</v>
      </c>
      <c r="X25" s="9" t="n">
        <f aca="false">X24*12</f>
        <v>252600000</v>
      </c>
      <c r="Y25" s="9" t="n">
        <f aca="false">Y24*12</f>
        <v>260076000</v>
      </c>
      <c r="Z25" s="9" t="n">
        <f aca="false">Z24*12</f>
        <v>281196000</v>
      </c>
      <c r="AA25" s="9" t="n">
        <f aca="false">AA24*12</f>
        <v>310416000</v>
      </c>
      <c r="AB25" s="9" t="n">
        <f aca="false">AB24*12</f>
        <v>392172000</v>
      </c>
      <c r="AC25" s="9" t="n">
        <f aca="false">AC24*12</f>
        <v>423372000</v>
      </c>
      <c r="AD25" s="9" t="n">
        <f aca="false">AD24*12</f>
        <v>437832000</v>
      </c>
      <c r="AE25" s="9" t="n">
        <f aca="false">AE24*12</f>
        <v>447576000</v>
      </c>
      <c r="AF25" s="9" t="n">
        <f aca="false">AF24*12</f>
        <v>463044000</v>
      </c>
      <c r="AG25" s="9" t="n">
        <f aca="false">AG24*12</f>
        <v>495360000</v>
      </c>
      <c r="AH25" s="9" t="n">
        <f aca="false">AH24*12</f>
        <v>563256000</v>
      </c>
      <c r="AI25" s="9" t="n">
        <f aca="false">AI24*12</f>
        <v>591852000</v>
      </c>
      <c r="AJ25" s="9" t="n">
        <f aca="false">AJ24*12</f>
        <v>601344000</v>
      </c>
      <c r="AK25" s="9" t="n">
        <f aca="false">AK24*12</f>
        <v>599004000</v>
      </c>
      <c r="AL25" s="9" t="n">
        <f aca="false">AL24*12</f>
        <v>611028000</v>
      </c>
      <c r="AM25" s="9" t="n">
        <f aca="false">AM24*12</f>
        <v>635616000</v>
      </c>
      <c r="AN25" s="9" t="n">
        <f aca="false">AN24*12</f>
        <v>668376000</v>
      </c>
      <c r="AO25" s="9" t="n">
        <f aca="false">AO24*12</f>
        <v>695700000</v>
      </c>
      <c r="AP25" s="9" t="n">
        <f aca="false">M25</f>
        <v>35424000</v>
      </c>
      <c r="AQ25" s="9" t="n">
        <f aca="false">Y25</f>
        <v>260076000</v>
      </c>
      <c r="AR25" s="9" t="n">
        <f aca="false">AK25</f>
        <v>599004000</v>
      </c>
      <c r="AS25" s="9" t="n">
        <f aca="false">AO25</f>
        <v>695700000</v>
      </c>
      <c r="AT25" s="2"/>
    </row>
    <row r="26" customFormat="false" ht="15" hidden="false" customHeight="false" outlineLevel="0" collapsed="false">
      <c r="A26" s="27" t="s">
        <v>385</v>
      </c>
      <c r="B26" s="2" t="s">
        <v>416</v>
      </c>
      <c r="C26" s="2" t="s">
        <v>384</v>
      </c>
      <c r="D26" s="2"/>
      <c r="F26" s="8" t="n">
        <f aca="false">IF(F15=0,0,('매출(Revenue)'!F5+'매출(Revenue)'!F7+'매출(Revenue)'!F9+'매출(Revenue)'!F11)/F15)</f>
        <v>0</v>
      </c>
      <c r="G26" s="8" t="n">
        <f aca="false">IF(G15=0,0,('매출(Revenue)'!G5+'매출(Revenue)'!G7+'매출(Revenue)'!G9+'매출(Revenue)'!G11)/G15)</f>
        <v>0</v>
      </c>
      <c r="H26" s="8" t="n">
        <f aca="false">IF(H15=0,0,('매출(Revenue)'!H5+'매출(Revenue)'!H7+'매출(Revenue)'!H9+'매출(Revenue)'!H11)/H15)</f>
        <v>0</v>
      </c>
      <c r="I26" s="8" t="n">
        <f aca="false">IF(I15=0,0,('매출(Revenue)'!I5+'매출(Revenue)'!I7+'매출(Revenue)'!I9+'매출(Revenue)'!I11)/I15)</f>
        <v>0</v>
      </c>
      <c r="J26" s="8" t="n">
        <f aca="false">IF(J15=0,0,('매출(Revenue)'!J5+'매출(Revenue)'!J7+'매출(Revenue)'!J9+'매출(Revenue)'!J11)/J15)</f>
        <v>18000</v>
      </c>
      <c r="K26" s="8" t="n">
        <f aca="false">IF(K15=0,0,('매출(Revenue)'!K5+'매출(Revenue)'!K7+'매출(Revenue)'!K9+'매출(Revenue)'!K11)/K15)</f>
        <v>20400</v>
      </c>
      <c r="L26" s="8" t="n">
        <f aca="false">IF(L15=0,0,('매출(Revenue)'!L5+'매출(Revenue)'!L7+'매출(Revenue)'!L9+'매출(Revenue)'!L11)/L15)</f>
        <v>21025.2100840336</v>
      </c>
      <c r="M26" s="8" t="n">
        <f aca="false">IF(M15=0,0,('매출(Revenue)'!M5+'매출(Revenue)'!M7+'매출(Revenue)'!M9+'매출(Revenue)'!M11)/M15)</f>
        <v>21391.3043478261</v>
      </c>
      <c r="N26" s="8" t="n">
        <f aca="false">IF(N15=0,0,('매출(Revenue)'!N5+'매출(Revenue)'!N7+'매출(Revenue)'!N9+'매출(Revenue)'!N11)/N15)</f>
        <v>21610.1694915254</v>
      </c>
      <c r="O26" s="8" t="n">
        <f aca="false">IF(O15=0,0,('매출(Revenue)'!O5+'매출(Revenue)'!O7+'매출(Revenue)'!O9+'매출(Revenue)'!O11)/O15)</f>
        <v>21733.6244541485</v>
      </c>
      <c r="P26" s="8" t="n">
        <f aca="false">IF(P15=0,0,('매출(Revenue)'!P5+'매출(Revenue)'!P7+'매출(Revenue)'!P9+'매출(Revenue)'!P11)/P15)</f>
        <v>21865.5737704918</v>
      </c>
      <c r="Q26" s="8" t="n">
        <f aca="false">IF(Q15=0,0,('매출(Revenue)'!Q5+'매출(Revenue)'!Q7+'매출(Revenue)'!Q9+'매출(Revenue)'!Q11)/Q15)</f>
        <v>21926.2295081967</v>
      </c>
      <c r="R26" s="8" t="n">
        <f aca="false">IF(R15=0,0,('매출(Revenue)'!R5+'매출(Revenue)'!R7+'매출(Revenue)'!R9+'매출(Revenue)'!R11)/R15)</f>
        <v>21977.6119402985</v>
      </c>
      <c r="S26" s="8" t="n">
        <f aca="false">IF(S15=0,0,('매출(Revenue)'!S5+'매출(Revenue)'!S7+'매출(Revenue)'!S9+'매출(Revenue)'!S11)/S15)</f>
        <v>21986.1111111111</v>
      </c>
      <c r="T26" s="8" t="n">
        <f aca="false">IF(T15=0,0,('매출(Revenue)'!T5+'매출(Revenue)'!T7+'매출(Revenue)'!T9+'매출(Revenue)'!T11)/T15)</f>
        <v>22044.0251572327</v>
      </c>
      <c r="U26" s="8" t="n">
        <f aca="false">IF(U15=0,0,('매출(Revenue)'!U5+'매출(Revenue)'!U7+'매출(Revenue)'!U9+'매출(Revenue)'!U11)/U15)</f>
        <v>22026.7379679144</v>
      </c>
      <c r="V26" s="8" t="n">
        <f aca="false">IF(V15=0,0,('매출(Revenue)'!V5+'매출(Revenue)'!V7+'매출(Revenue)'!V9+'매출(Revenue)'!V11)/V15)</f>
        <v>22023.3236151604</v>
      </c>
      <c r="W26" s="8" t="n">
        <f aca="false">IF(W15=0,0,('매출(Revenue)'!W5+'매출(Revenue)'!W7+'매출(Revenue)'!W9+'매출(Revenue)'!W11)/W15)</f>
        <v>22037.5647668394</v>
      </c>
      <c r="X26" s="8" t="n">
        <f aca="false">IF(X15=0,0,('매출(Revenue)'!X5+'매출(Revenue)'!X7+'매출(Revenue)'!X9+'매출(Revenue)'!X11)/X15)</f>
        <v>22041.412911084</v>
      </c>
      <c r="Y26" s="8" t="n">
        <f aca="false">IF(Y15=0,0,('매출(Revenue)'!Y5+'매출(Revenue)'!Y7+'매출(Revenue)'!Y9+'매출(Revenue)'!Y11)/Y15)</f>
        <v>22057.9881656805</v>
      </c>
      <c r="Z26" s="8" t="n">
        <f aca="false">IF(Z15=0,0,('매출(Revenue)'!Z5+'매출(Revenue)'!Z7+'매출(Revenue)'!Z9+'매출(Revenue)'!Z11)/Z15)</f>
        <v>22061.8892508143</v>
      </c>
      <c r="AA26" s="8" t="n">
        <f aca="false">IF(AA15=0,0,('매출(Revenue)'!AA5+'매출(Revenue)'!AA7+'매출(Revenue)'!AA9+'매출(Revenue)'!AA11)/AA15)</f>
        <v>22034.9854227405</v>
      </c>
      <c r="AB26" s="8" t="n">
        <f aca="false">IF(AB15=0,0,('매출(Revenue)'!AB5+'매출(Revenue)'!AB7+'매출(Revenue)'!AB9+'매출(Revenue)'!AB11)/AB15)</f>
        <v>22017.6767676768</v>
      </c>
      <c r="AC26" s="8" t="n">
        <f aca="false">IF(AC15=0,0,('매출(Revenue)'!AC5+'매출(Revenue)'!AC7+'매출(Revenue)'!AC9+'매출(Revenue)'!AC11)/AC15)</f>
        <v>22025.3456221198</v>
      </c>
      <c r="AD26" s="8" t="n">
        <f aca="false">IF(AD15=0,0,('매출(Revenue)'!AD5+'매출(Revenue)'!AD7+'매출(Revenue)'!AD9+'매출(Revenue)'!AD11)/AD15)</f>
        <v>22026.6075388027</v>
      </c>
      <c r="AE26" s="8" t="n">
        <f aca="false">IF(AE15=0,0,('매출(Revenue)'!AE5+'매출(Revenue)'!AE7+'매출(Revenue)'!AE9+'매출(Revenue)'!AE11)/AE15)</f>
        <v>22030.303030303</v>
      </c>
      <c r="AF26" s="8" t="n">
        <f aca="false">IF(AF15=0,0,('매출(Revenue)'!AF5+'매출(Revenue)'!AF7+'매출(Revenue)'!AF9+'매출(Revenue)'!AF11)/AF15)</f>
        <v>22028.452463567</v>
      </c>
      <c r="AG26" s="8" t="n">
        <f aca="false">IF(AG15=0,0,('매출(Revenue)'!AG5+'매출(Revenue)'!AG7+'매출(Revenue)'!AG9+'매출(Revenue)'!AG11)/AG15)</f>
        <v>22023.0769230769</v>
      </c>
      <c r="AH26" s="8" t="n">
        <f aca="false">IF(AH15=0,0,('매출(Revenue)'!AH5+'매출(Revenue)'!AH7+'매출(Revenue)'!AH9+'매출(Revenue)'!AH11)/AH15)</f>
        <v>22013.2336018412</v>
      </c>
      <c r="AI26" s="8" t="n">
        <f aca="false">IF(AI15=0,0,('매출(Revenue)'!AI5+'매출(Revenue)'!AI7+'매출(Revenue)'!AI9+'매출(Revenue)'!AI11)/AI15)</f>
        <v>22017.3629951167</v>
      </c>
      <c r="AJ26" s="8" t="n">
        <f aca="false">IF(AJ15=0,0,('매출(Revenue)'!AJ5+'매출(Revenue)'!AJ7+'매출(Revenue)'!AJ9+'매출(Revenue)'!AJ11)/AJ15)</f>
        <v>22022.9088971763</v>
      </c>
      <c r="AK26" s="8" t="n">
        <f aca="false">IF(AK15=0,0,('매출(Revenue)'!AK5+'매출(Revenue)'!AK7+'매출(Revenue)'!AK9+'매출(Revenue)'!AK11)/AK15)</f>
        <v>22024.625267666</v>
      </c>
      <c r="AL26" s="8" t="n">
        <f aca="false">IF(AL15=0,0,('매출(Revenue)'!AL5+'매출(Revenue)'!AL7+'매출(Revenue)'!AL9+'매출(Revenue)'!AL11)/AL15)</f>
        <v>22030.3188708834</v>
      </c>
      <c r="AM26" s="8" t="n">
        <f aca="false">IF(AM15=0,0,('매출(Revenue)'!AM5+'매출(Revenue)'!AM7+'매출(Revenue)'!AM9+'매출(Revenue)'!AM11)/AM15)</f>
        <v>22030.408773679</v>
      </c>
      <c r="AN26" s="8" t="n">
        <f aca="false">IF(AN15=0,0,('매출(Revenue)'!AN5+'매출(Revenue)'!AN7+'매출(Revenue)'!AN9+'매출(Revenue)'!AN11)/AN15)</f>
        <v>22028.0976508521</v>
      </c>
      <c r="AO26" s="8" t="n">
        <f aca="false">IF(AO15=0,0,('매출(Revenue)'!AO5+'매출(Revenue)'!AO7+'매출(Revenue)'!AO9+'매출(Revenue)'!AO11)/AO15)</f>
        <v>22031.6622691293</v>
      </c>
      <c r="AP26" s="8" t="n">
        <f aca="false">M26</f>
        <v>21391.3043478261</v>
      </c>
      <c r="AQ26" s="8" t="n">
        <f aca="false">Y26</f>
        <v>22057.9881656805</v>
      </c>
      <c r="AR26" s="8" t="n">
        <f aca="false">AK26</f>
        <v>22024.625267666</v>
      </c>
      <c r="AS26" s="8" t="n">
        <f aca="false">AO26</f>
        <v>22031.6622691293</v>
      </c>
      <c r="AT26" s="2"/>
    </row>
    <row r="27" customFormat="false" ht="15" hidden="false" customHeight="false" outlineLevel="0" collapsed="false">
      <c r="A27" s="17" t="s">
        <v>385</v>
      </c>
      <c r="B27" s="2" t="s">
        <v>417</v>
      </c>
      <c r="C27" s="2" t="s">
        <v>384</v>
      </c>
      <c r="D27" s="17" t="s">
        <v>418</v>
      </c>
      <c r="F27" s="7" t="n">
        <v>0</v>
      </c>
      <c r="G27" s="7" t="n">
        <v>0</v>
      </c>
      <c r="H27" s="7" t="n">
        <v>0</v>
      </c>
      <c r="I27" s="7" t="n">
        <v>0</v>
      </c>
      <c r="J27" s="7" t="n">
        <v>0</v>
      </c>
      <c r="K27" s="7" t="n">
        <v>0</v>
      </c>
      <c r="L27" s="7" t="n">
        <v>0</v>
      </c>
      <c r="M27" s="7" t="n">
        <v>0</v>
      </c>
      <c r="N27" s="7" t="n">
        <v>1646468.789904</v>
      </c>
      <c r="O27" s="7" t="n">
        <v>2193462.31010544</v>
      </c>
      <c r="P27" s="7" t="n">
        <v>3042930.44110991</v>
      </c>
      <c r="Q27" s="7" t="n">
        <v>2842966.44069412</v>
      </c>
      <c r="R27" s="7" t="n">
        <v>2324125.06526744</v>
      </c>
      <c r="S27" s="7" t="n">
        <v>2251818.95212579</v>
      </c>
      <c r="T27" s="7" t="n">
        <v>2761292.99004425</v>
      </c>
      <c r="U27" s="7" t="n">
        <v>4013079.14553097</v>
      </c>
      <c r="V27" s="7" t="n">
        <v>5467820.33578595</v>
      </c>
      <c r="W27" s="7" t="n">
        <v>4767939.33280535</v>
      </c>
      <c r="X27" s="7" t="n">
        <v>3897790.40456837</v>
      </c>
      <c r="Y27" s="7" t="n">
        <v>3304460.08742852</v>
      </c>
      <c r="Z27" s="7" t="n">
        <v>5371875.73512449</v>
      </c>
      <c r="AA27" s="7" t="n">
        <v>6816928.14550688</v>
      </c>
      <c r="AB27" s="7" t="n">
        <v>9011748.41922082</v>
      </c>
      <c r="AC27" s="7" t="n">
        <v>8026508.56603493</v>
      </c>
      <c r="AD27" s="7" t="n">
        <v>6258047.93768604</v>
      </c>
      <c r="AE27" s="7" t="n">
        <v>5785369.55784786</v>
      </c>
      <c r="AF27" s="7" t="n">
        <v>6772195.97582703</v>
      </c>
      <c r="AG27" s="7" t="n">
        <v>9399889.02111071</v>
      </c>
      <c r="AH27" s="7" t="n">
        <v>12237798.5358417</v>
      </c>
      <c r="AI27" s="7" t="n">
        <v>10202050.9127866</v>
      </c>
      <c r="AJ27" s="7" t="n">
        <v>7977635.10161692</v>
      </c>
      <c r="AK27" s="7" t="n">
        <v>6472825.71879126</v>
      </c>
      <c r="AL27" s="7" t="n">
        <v>9019992.53201844</v>
      </c>
      <c r="AM27" s="7" t="n">
        <v>11298919.4013229</v>
      </c>
      <c r="AN27" s="7" t="n">
        <v>14741013.0420916</v>
      </c>
      <c r="AO27" s="7" t="n">
        <v>12954306.664868</v>
      </c>
      <c r="AP27" s="36" t="n">
        <f aca="false">SUM(F27:M27)</f>
        <v>0</v>
      </c>
      <c r="AQ27" s="36" t="n">
        <f aca="false">SUM(N27:Y27)</f>
        <v>38514154.2953701</v>
      </c>
      <c r="AR27" s="36" t="n">
        <f aca="false">SUM(Z27:AK27)</f>
        <v>94332873.6273952</v>
      </c>
      <c r="AS27" s="36" t="n">
        <f aca="false">SUM(AL27:AO27)</f>
        <v>48014231.6403009</v>
      </c>
      <c r="AT27" s="2" t="s">
        <v>419</v>
      </c>
    </row>
    <row r="28" customFormat="false" ht="15" hidden="false" customHeight="false" outlineLevel="0" collapsed="false">
      <c r="A28" s="17" t="s">
        <v>385</v>
      </c>
      <c r="B28" s="2" t="s">
        <v>420</v>
      </c>
      <c r="C28" s="2" t="s">
        <v>384</v>
      </c>
      <c r="D28" s="2" t="s">
        <v>408</v>
      </c>
      <c r="F28" s="7" t="n">
        <v>0</v>
      </c>
      <c r="G28" s="7" t="n">
        <v>0</v>
      </c>
      <c r="H28" s="7" t="n">
        <v>0</v>
      </c>
      <c r="I28" s="7" t="n">
        <v>0</v>
      </c>
      <c r="J28" s="7" t="n">
        <v>0</v>
      </c>
      <c r="K28" s="7" t="n">
        <v>0</v>
      </c>
      <c r="L28" s="7" t="n">
        <v>0</v>
      </c>
      <c r="M28" s="7" t="n">
        <v>0</v>
      </c>
      <c r="N28" s="7" t="n">
        <v>0</v>
      </c>
      <c r="O28" s="7" t="n">
        <v>0</v>
      </c>
      <c r="P28" s="7" t="n">
        <v>15000000</v>
      </c>
      <c r="Q28" s="7" t="n">
        <v>0</v>
      </c>
      <c r="R28" s="7" t="n">
        <v>0</v>
      </c>
      <c r="S28" s="7" t="n">
        <v>0</v>
      </c>
      <c r="T28" s="7" t="n">
        <v>0</v>
      </c>
      <c r="U28" s="7" t="n">
        <v>0</v>
      </c>
      <c r="V28" s="7" t="n">
        <v>12000000</v>
      </c>
      <c r="W28" s="7" t="n">
        <v>0</v>
      </c>
      <c r="X28" s="7" t="n">
        <v>0</v>
      </c>
      <c r="Y28" s="7" t="n">
        <v>0</v>
      </c>
      <c r="Z28" s="7" t="n">
        <v>0</v>
      </c>
      <c r="AA28" s="7" t="n">
        <v>0</v>
      </c>
      <c r="AB28" s="7" t="n">
        <v>54000000</v>
      </c>
      <c r="AC28" s="7" t="n">
        <v>0</v>
      </c>
      <c r="AD28" s="7" t="n">
        <v>0</v>
      </c>
      <c r="AE28" s="7" t="n">
        <v>0</v>
      </c>
      <c r="AF28" s="7" t="n">
        <v>0</v>
      </c>
      <c r="AG28" s="7" t="n">
        <v>0</v>
      </c>
      <c r="AH28" s="7" t="n">
        <v>32100000</v>
      </c>
      <c r="AI28" s="7" t="n">
        <v>0</v>
      </c>
      <c r="AJ28" s="7" t="n">
        <v>0</v>
      </c>
      <c r="AK28" s="7" t="n">
        <v>0</v>
      </c>
      <c r="AL28" s="7" t="n">
        <v>0</v>
      </c>
      <c r="AM28" s="7" t="n">
        <v>0</v>
      </c>
      <c r="AN28" s="7" t="n">
        <v>43200000</v>
      </c>
      <c r="AO28" s="7" t="n">
        <v>0</v>
      </c>
      <c r="AP28" s="36" t="n">
        <f aca="false">SUM(F28:M28)</f>
        <v>0</v>
      </c>
      <c r="AQ28" s="36" t="n">
        <f aca="false">SUM(N28:Y28)</f>
        <v>27000000</v>
      </c>
      <c r="AR28" s="36" t="n">
        <f aca="false">SUM(Z28:AK28)</f>
        <v>86100000</v>
      </c>
      <c r="AS28" s="36" t="n">
        <f aca="false">SUM(AL28:AO28)</f>
        <v>43200000</v>
      </c>
      <c r="AT28" s="2"/>
    </row>
    <row r="29" customFormat="false" ht="15" hidden="false" customHeight="false" outlineLevel="0" collapsed="false">
      <c r="A29" s="17" t="s">
        <v>385</v>
      </c>
      <c r="B29" s="2" t="s">
        <v>421</v>
      </c>
      <c r="C29" s="2" t="s">
        <v>384</v>
      </c>
      <c r="D29" s="17" t="s">
        <v>418</v>
      </c>
      <c r="F29" s="7" t="n">
        <v>0</v>
      </c>
      <c r="G29" s="7" t="n">
        <v>0</v>
      </c>
      <c r="H29" s="7" t="n">
        <v>0</v>
      </c>
      <c r="I29" s="7" t="n">
        <v>0</v>
      </c>
      <c r="J29" s="7" t="n">
        <v>0</v>
      </c>
      <c r="K29" s="7" t="n">
        <v>0</v>
      </c>
      <c r="L29" s="7" t="n">
        <v>0</v>
      </c>
      <c r="M29" s="7" t="n">
        <v>0</v>
      </c>
      <c r="N29" s="7" t="n">
        <v>0</v>
      </c>
      <c r="O29" s="7" t="n">
        <v>1074480</v>
      </c>
      <c r="P29" s="7" t="n">
        <v>1784640</v>
      </c>
      <c r="Q29" s="7" t="n">
        <v>1810285.71428571</v>
      </c>
      <c r="R29" s="7" t="n">
        <v>1476514.28571429</v>
      </c>
      <c r="S29" s="7" t="n">
        <v>3390902.85714286</v>
      </c>
      <c r="T29" s="7" t="n">
        <v>1714114.28571429</v>
      </c>
      <c r="U29" s="7" t="n">
        <v>2665645.71428571</v>
      </c>
      <c r="V29" s="7" t="n">
        <v>6550514.28571429</v>
      </c>
      <c r="W29" s="7" t="n">
        <v>3625097.14285714</v>
      </c>
      <c r="X29" s="7" t="n">
        <v>2857988.57142857</v>
      </c>
      <c r="Y29" s="7" t="n">
        <v>5265120</v>
      </c>
      <c r="Z29" s="7" t="n">
        <v>3166868.57142857</v>
      </c>
      <c r="AA29" s="7" t="n">
        <v>4326960</v>
      </c>
      <c r="AB29" s="7" t="n">
        <v>9883520</v>
      </c>
      <c r="AC29" s="7" t="n">
        <v>5992045.71428571</v>
      </c>
      <c r="AD29" s="7" t="n">
        <v>4646777.14285714</v>
      </c>
      <c r="AE29" s="7" t="n">
        <v>8202880</v>
      </c>
      <c r="AF29" s="7" t="n">
        <v>4891165.71428571</v>
      </c>
      <c r="AG29" s="7" t="n">
        <v>7069165.71428571</v>
      </c>
      <c r="AH29" s="7" t="n">
        <v>14388685.7142857</v>
      </c>
      <c r="AI29" s="7" t="n">
        <v>8377097.14285714</v>
      </c>
      <c r="AJ29" s="7" t="n">
        <v>6360891.42857143</v>
      </c>
      <c r="AK29" s="7" t="n">
        <v>9881360</v>
      </c>
      <c r="AL29" s="7" t="n">
        <v>6408411.42857143</v>
      </c>
      <c r="AM29" s="7" t="n">
        <v>8218320</v>
      </c>
      <c r="AN29" s="7" t="n">
        <v>16883680</v>
      </c>
      <c r="AO29" s="7" t="n">
        <v>10228114.2857143</v>
      </c>
      <c r="AP29" s="36" t="n">
        <f aca="false">SUM(F29:M29)</f>
        <v>0</v>
      </c>
      <c r="AQ29" s="36" t="n">
        <f aca="false">SUM(N29:Y29)</f>
        <v>32215302.8571429</v>
      </c>
      <c r="AR29" s="36" t="n">
        <f aca="false">SUM(Z29:AK29)</f>
        <v>87187417.1428571</v>
      </c>
      <c r="AS29" s="36" t="n">
        <f aca="false">SUM(AL29:AO29)</f>
        <v>41738525.7142857</v>
      </c>
      <c r="AT29" s="2" t="s">
        <v>422</v>
      </c>
    </row>
    <row r="30" customFormat="false" ht="15" hidden="false" customHeight="false" outlineLevel="0" collapsed="false">
      <c r="A30" s="27" t="s">
        <v>385</v>
      </c>
      <c r="B30" s="2" t="s">
        <v>423</v>
      </c>
      <c r="C30" s="2" t="s">
        <v>384</v>
      </c>
      <c r="D30" s="2"/>
      <c r="F30" s="8" t="n">
        <f aca="false">'매출(Revenue)'!F13+'매출(Revenue)'!F14</f>
        <v>0</v>
      </c>
      <c r="G30" s="8" t="n">
        <f aca="false">'매출(Revenue)'!G13+'매출(Revenue)'!G14</f>
        <v>0</v>
      </c>
      <c r="H30" s="8" t="n">
        <f aca="false">'매출(Revenue)'!H13+'매출(Revenue)'!H14</f>
        <v>0</v>
      </c>
      <c r="I30" s="8" t="n">
        <f aca="false">'매출(Revenue)'!I13+'매출(Revenue)'!I14</f>
        <v>0</v>
      </c>
      <c r="J30" s="8" t="n">
        <f aca="false">'매출(Revenue)'!J13+'매출(Revenue)'!J14</f>
        <v>0</v>
      </c>
      <c r="K30" s="8" t="n">
        <f aca="false">'매출(Revenue)'!K13+'매출(Revenue)'!K14</f>
        <v>0</v>
      </c>
      <c r="L30" s="8" t="n">
        <f aca="false">'매출(Revenue)'!L13+'매출(Revenue)'!L14</f>
        <v>0</v>
      </c>
      <c r="M30" s="8" t="n">
        <f aca="false">'매출(Revenue)'!M13+'매출(Revenue)'!M14</f>
        <v>0</v>
      </c>
      <c r="N30" s="8" t="n">
        <f aca="false">'매출(Revenue)'!N13+'매출(Revenue)'!N14</f>
        <v>0</v>
      </c>
      <c r="O30" s="8" t="n">
        <f aca="false">'매출(Revenue)'!O13+'매출(Revenue)'!O14</f>
        <v>752136</v>
      </c>
      <c r="P30" s="8" t="n">
        <f aca="false">'매출(Revenue)'!P13+'매출(Revenue)'!P14</f>
        <v>1571592</v>
      </c>
      <c r="Q30" s="8" t="n">
        <f aca="false">'매출(Revenue)'!Q13+'매출(Revenue)'!Q14</f>
        <v>1802592</v>
      </c>
      <c r="R30" s="8" t="n">
        <f aca="false">'매출(Revenue)'!R13+'매출(Revenue)'!R14</f>
        <v>1576646</v>
      </c>
      <c r="S30" s="8" t="n">
        <f aca="false">'매출(Revenue)'!S13+'매출(Revenue)'!S14</f>
        <v>2083253</v>
      </c>
      <c r="T30" s="8" t="n">
        <f aca="false">'매출(Revenue)'!T13+'매출(Revenue)'!T14</f>
        <v>2283818</v>
      </c>
      <c r="U30" s="8" t="n">
        <f aca="false">'매출(Revenue)'!U13+'매출(Revenue)'!U14</f>
        <v>3046853</v>
      </c>
      <c r="V30" s="8" t="n">
        <f aca="false">'매출(Revenue)'!V13+'매출(Revenue)'!V14</f>
        <v>4468387</v>
      </c>
      <c r="W30" s="8" t="n">
        <f aca="false">'매출(Revenue)'!W13+'매출(Revenue)'!W14</f>
        <v>4586055</v>
      </c>
      <c r="X30" s="8" t="n">
        <f aca="false">'매출(Revenue)'!X13+'매출(Revenue)'!X14</f>
        <v>3921454</v>
      </c>
      <c r="Y30" s="8" t="n">
        <f aca="false">'매출(Revenue)'!Y13+'매출(Revenue)'!Y14</f>
        <v>3442981</v>
      </c>
      <c r="Z30" s="8" t="n">
        <f aca="false">'매출(Revenue)'!Z13+'매출(Revenue)'!Z14</f>
        <v>3896344</v>
      </c>
      <c r="AA30" s="8" t="n">
        <f aca="false">'매출(Revenue)'!AA13+'매출(Revenue)'!AA14</f>
        <v>4978933</v>
      </c>
      <c r="AB30" s="8" t="n">
        <f aca="false">'매출(Revenue)'!AB13+'매출(Revenue)'!AB14</f>
        <v>6933219</v>
      </c>
      <c r="AC30" s="8" t="n">
        <f aca="false">'매출(Revenue)'!AC13+'매출(Revenue)'!AC14</f>
        <v>7276155</v>
      </c>
      <c r="AD30" s="8" t="n">
        <f aca="false">'매출(Revenue)'!AD13+'매출(Revenue)'!AD14</f>
        <v>6217025</v>
      </c>
      <c r="AE30" s="8" t="n">
        <f aca="false">'매출(Revenue)'!AE13+'매출(Revenue)'!AE14</f>
        <v>5669382</v>
      </c>
      <c r="AF30" s="8" t="n">
        <f aca="false">'매출(Revenue)'!AF13+'매출(Revenue)'!AF14</f>
        <v>6018013</v>
      </c>
      <c r="AG30" s="8" t="n">
        <f aca="false">'매출(Revenue)'!AG13+'매출(Revenue)'!AG14</f>
        <v>7749099</v>
      </c>
      <c r="AH30" s="8" t="n">
        <f aca="false">'매출(Revenue)'!AH13+'매출(Revenue)'!AH14</f>
        <v>10542830</v>
      </c>
      <c r="AI30" s="8" t="n">
        <f aca="false">'매출(Revenue)'!AI13+'매출(Revenue)'!AI14</f>
        <v>10330574</v>
      </c>
      <c r="AJ30" s="8" t="n">
        <f aca="false">'매출(Revenue)'!AJ13+'매출(Revenue)'!AJ14</f>
        <v>8465753</v>
      </c>
      <c r="AK30" s="8" t="n">
        <f aca="false">'매출(Revenue)'!AK13+'매출(Revenue)'!AK14</f>
        <v>6991886</v>
      </c>
      <c r="AL30" s="8" t="n">
        <f aca="false">'매출(Revenue)'!AL13+'매출(Revenue)'!AL14</f>
        <v>7616963</v>
      </c>
      <c r="AM30" s="8" t="n">
        <f aca="false">'매출(Revenue)'!AM13+'매출(Revenue)'!AM14</f>
        <v>9342014</v>
      </c>
      <c r="AN30" s="8" t="n">
        <f aca="false">'매출(Revenue)'!AN13+'매출(Revenue)'!AN14</f>
        <v>12267405</v>
      </c>
      <c r="AO30" s="8" t="n">
        <f aca="false">'매출(Revenue)'!AO13+'매출(Revenue)'!AO14</f>
        <v>12408117</v>
      </c>
      <c r="AP30" s="8" t="n">
        <f aca="false">SUM(F30:M30)</f>
        <v>0</v>
      </c>
      <c r="AQ30" s="8" t="n">
        <f aca="false">SUM(N30:Y30)</f>
        <v>29535767</v>
      </c>
      <c r="AR30" s="8" t="n">
        <f aca="false">SUM(Z30:AK30)</f>
        <v>85069213</v>
      </c>
      <c r="AS30" s="8" t="n">
        <f aca="false">SUM(AL30:AO30)</f>
        <v>41634499</v>
      </c>
      <c r="AT30" s="2"/>
    </row>
    <row r="31" customFormat="false" ht="15" hidden="false" customHeight="false" outlineLevel="0" collapsed="false">
      <c r="A31" s="27" t="s">
        <v>385</v>
      </c>
      <c r="B31" s="17" t="s">
        <v>424</v>
      </c>
      <c r="C31" s="17" t="s">
        <v>401</v>
      </c>
      <c r="D31" s="2"/>
      <c r="F31" s="37" t="n">
        <f aca="false">IF('손익계산서(P&amp;L)'!F6=0,0,'매출원가(COGS)'!F6/'손익계산서(P&amp;L)'!F6)</f>
        <v>0</v>
      </c>
      <c r="G31" s="37" t="n">
        <f aca="false">IF('손익계산서(P&amp;L)'!G6=0,0,'매출원가(COGS)'!G6/'손익계산서(P&amp;L)'!G6)</f>
        <v>0</v>
      </c>
      <c r="H31" s="37" t="n">
        <f aca="false">IF('손익계산서(P&amp;L)'!H6=0,0,'매출원가(COGS)'!H6/'손익계산서(P&amp;L)'!H6)</f>
        <v>0</v>
      </c>
      <c r="I31" s="37" t="n">
        <f aca="false">IF('손익계산서(P&amp;L)'!I6=0,0,'매출원가(COGS)'!I6/'손익계산서(P&amp;L)'!I6)</f>
        <v>0</v>
      </c>
      <c r="J31" s="37" t="n">
        <f aca="false">IF('손익계산서(P&amp;L)'!J6=0,0,'매출원가(COGS)'!J6/'손익계산서(P&amp;L)'!J6)</f>
        <v>0.213888888888889</v>
      </c>
      <c r="K31" s="37" t="n">
        <f aca="false">IF('손익계산서(P&amp;L)'!K6=0,0,'매출원가(COGS)'!K6/'손익계산서(P&amp;L)'!K6)</f>
        <v>0.216176470588235</v>
      </c>
      <c r="L31" s="37" t="n">
        <f aca="false">IF('손익계산서(P&amp;L)'!L6=0,0,'매출원가(COGS)'!L6/'손익계산서(P&amp;L)'!L6)</f>
        <v>0.216686650679456</v>
      </c>
      <c r="M31" s="37" t="n">
        <f aca="false">IF('손익계산서(P&amp;L)'!M6=0,0,'매출원가(COGS)'!M6/'손익계산서(P&amp;L)'!M6)</f>
        <v>0.216971544715447</v>
      </c>
      <c r="N31" s="37" t="n">
        <f aca="false">IF('손익계산서(P&amp;L)'!N6=0,0,'매출원가(COGS)'!N6/'손익계산서(P&amp;L)'!N6)</f>
        <v>0.21878431372549</v>
      </c>
      <c r="O31" s="37" t="n">
        <f aca="false">IF('손익계산서(P&amp;L)'!O6=0,0,'매출원가(COGS)'!O6/'손익계산서(P&amp;L)'!O6)</f>
        <v>0.237225647986014</v>
      </c>
      <c r="P31" s="37" t="n">
        <f aca="false">IF('손익계산서(P&amp;L)'!P6=0,0,'매출원가(COGS)'!P6/'손익계산서(P&amp;L)'!P6)</f>
        <v>0.213299444333926</v>
      </c>
      <c r="Q31" s="37" t="n">
        <f aca="false">IF('손익계산서(P&amp;L)'!Q6=0,0,'매출원가(COGS)'!Q6/'손익계산서(P&amp;L)'!Q6)</f>
        <v>0.215240008839466</v>
      </c>
      <c r="R31" s="37" t="n">
        <f aca="false">IF('손익계산서(P&amp;L)'!R6=0,0,'매출원가(COGS)'!R6/'손익계산서(P&amp;L)'!R6)</f>
        <v>0.21118962621618</v>
      </c>
      <c r="S31" s="37" t="n">
        <f aca="false">IF('손익계산서(P&amp;L)'!S6=0,0,'매출원가(COGS)'!S6/'손익계산서(P&amp;L)'!S6)</f>
        <v>0.215370006241922</v>
      </c>
      <c r="T31" s="37" t="n">
        <f aca="false">IF('손익계산서(P&amp;L)'!T6=0,0,'매출원가(COGS)'!T6/'손익계산서(P&amp;L)'!T6)</f>
        <v>0.216258536110002</v>
      </c>
      <c r="U31" s="37" t="n">
        <f aca="false">IF('손익계산서(P&amp;L)'!U6=0,0,'매출원가(COGS)'!U6/'손익계산서(P&amp;L)'!U6)</f>
        <v>0.219041838950247</v>
      </c>
      <c r="V31" s="37" t="n">
        <f aca="false">IF('손익계산서(P&amp;L)'!V6=0,0,'매출원가(COGS)'!V6/'손익계산서(P&amp;L)'!V6)</f>
        <v>0.204032277134946</v>
      </c>
      <c r="W31" s="37" t="n">
        <f aca="false">IF('손익계산서(P&amp;L)'!W6=0,0,'매출원가(COGS)'!W6/'손익계산서(P&amp;L)'!W6)</f>
        <v>0.2035077762053</v>
      </c>
      <c r="X31" s="37" t="n">
        <f aca="false">IF('손익계산서(P&amp;L)'!X6=0,0,'매출원가(COGS)'!X6/'손익계산서(P&amp;L)'!X6)</f>
        <v>0.200386008760243</v>
      </c>
      <c r="Y31" s="37" t="n">
        <f aca="false">IF('손익계산서(P&amp;L)'!Y6=0,0,'매출원가(COGS)'!Y6/'손익계산서(P&amp;L)'!Y6)</f>
        <v>0.198228570088503</v>
      </c>
      <c r="Z31" s="37" t="n">
        <f aca="false">IF('손익계산서(P&amp;L)'!Z6=0,0,'매출원가(COGS)'!Z6/'손익계산서(P&amp;L)'!Z6)</f>
        <v>0.199503654387021</v>
      </c>
      <c r="AA31" s="37" t="n">
        <f aca="false">IF('손익계산서(P&amp;L)'!AA6=0,0,'매출원가(COGS)'!AA6/'손익계산서(P&amp;L)'!AA6)</f>
        <v>0.202442524837072</v>
      </c>
      <c r="AB31" s="37" t="n">
        <f aca="false">IF('손익계산서(P&amp;L)'!AB6=0,0,'매출원가(COGS)'!AB6/'손익계산서(P&amp;L)'!AB6)</f>
        <v>0.184903758925551</v>
      </c>
      <c r="AC31" s="37" t="n">
        <f aca="false">IF('손익계산서(P&amp;L)'!AC6=0,0,'매출원가(COGS)'!AC6/'손익계산서(P&amp;L)'!AC6)</f>
        <v>0.185295234138654</v>
      </c>
      <c r="AD31" s="37" t="n">
        <f aca="false">IF('손익계산서(P&amp;L)'!AD6=0,0,'매출원가(COGS)'!AD6/'손익계산서(P&amp;L)'!AD6)</f>
        <v>0.182717547527371</v>
      </c>
      <c r="AE31" s="37" t="n">
        <f aca="false">IF('손익계산서(P&amp;L)'!AE6=0,0,'매출원가(COGS)'!AE6/'손익계산서(P&amp;L)'!AE6)</f>
        <v>0.181400090887548</v>
      </c>
      <c r="AF31" s="37" t="n">
        <f aca="false">IF('손익계산서(P&amp;L)'!AF6=0,0,'매출원가(COGS)'!AF6/'손익계산서(P&amp;L)'!AF6)</f>
        <v>0.182116884485607</v>
      </c>
      <c r="AG31" s="37" t="n">
        <f aca="false">IF('손익계산서(P&amp;L)'!AG6=0,0,'매출원가(COGS)'!AG6/'손익계산서(P&amp;L)'!AG6)</f>
        <v>0.185408832416031</v>
      </c>
      <c r="AH31" s="37" t="n">
        <f aca="false">IF('손익계산서(P&amp;L)'!AH6=0,0,'매출원가(COGS)'!AH6/'손익계산서(P&amp;L)'!AH6)</f>
        <v>0.173901229331588</v>
      </c>
      <c r="AI31" s="37" t="n">
        <f aca="false">IF('손익계산서(P&amp;L)'!AI6=0,0,'매출원가(COGS)'!AI6/'손익계산서(P&amp;L)'!AI6)</f>
        <v>0.173320908514501</v>
      </c>
      <c r="AJ31" s="37" t="n">
        <f aca="false">IF('손익계산서(P&amp;L)'!AJ6=0,0,'매출원가(COGS)'!AJ6/'손익계산서(P&amp;L)'!AJ6)</f>
        <v>0.170524396864455</v>
      </c>
      <c r="AK31" s="37" t="n">
        <f aca="false">IF('손익계산서(P&amp;L)'!AK6=0,0,'매출원가(COGS)'!AK6/'손익계산서(P&amp;L)'!AK6)</f>
        <v>0.168344043845806</v>
      </c>
      <c r="AL31" s="37" t="n">
        <f aca="false">IF('손익계산서(P&amp;L)'!AL6=0,0,'매출원가(COGS)'!AL6/'손익계산서(P&amp;L)'!AL6)</f>
        <v>0.169425998851339</v>
      </c>
      <c r="AM31" s="37" t="n">
        <f aca="false">IF('손익계산서(P&amp;L)'!AM6=0,0,'매출원가(COGS)'!AM6/'손익계산서(P&amp;L)'!AM6)</f>
        <v>0.171971538956804</v>
      </c>
      <c r="AN31" s="37" t="n">
        <f aca="false">IF('손익계산서(P&amp;L)'!AN6=0,0,'매출원가(COGS)'!AN6/'손익계산서(P&amp;L)'!AN6)</f>
        <v>0.164259287500751</v>
      </c>
      <c r="AO31" s="37" t="n">
        <f aca="false">IF('손익계산서(P&amp;L)'!AO6=0,0,'매출원가(COGS)'!AO6/'손익계산서(P&amp;L)'!AO6)</f>
        <v>0.164185666855306</v>
      </c>
      <c r="AP31" s="37" t="n">
        <f aca="false">IF('손익계산서(P&amp;L)'!AP6=0,0,'매출원가(COGS)'!AP6/'손익계산서(P&amp;L)'!AP6)</f>
        <v>0.216395061728395</v>
      </c>
      <c r="AQ31" s="37" t="n">
        <f aca="false">IF('손익계산서(P&amp;L)'!AQ6=0,0,'매출원가(COGS)'!AQ6/'손익계산서(P&amp;L)'!AQ6)</f>
        <v>0.208795751263575</v>
      </c>
      <c r="AR31" s="37" t="n">
        <f aca="false">IF('손익계산서(P&amp;L)'!AR6=0,0,'매출원가(COGS)'!AR6/'손익계산서(P&amp;L)'!AR6)</f>
        <v>0.180386342172066</v>
      </c>
      <c r="AS31" s="37" t="n">
        <f aca="false">IF('손익계산서(P&amp;L)'!AS6=0,0,'매출원가(COGS)'!AS6/'손익계산서(P&amp;L)'!AS6)</f>
        <v>0.167260150841396</v>
      </c>
      <c r="AT31" s="17" t="s">
        <v>425</v>
      </c>
    </row>
    <row r="32" customFormat="false" ht="15" hidden="false" customHeight="false" outlineLevel="0" collapsed="false">
      <c r="A32" s="27" t="s">
        <v>385</v>
      </c>
      <c r="B32" s="17" t="s">
        <v>426</v>
      </c>
      <c r="C32" s="2" t="s">
        <v>384</v>
      </c>
      <c r="D32" s="2"/>
      <c r="F32" s="8" t="n">
        <f aca="false">IF(F16=0,0,'판관비(SG&amp;A)'!F16/F16)</f>
        <v>0</v>
      </c>
      <c r="G32" s="8" t="n">
        <f aca="false">IF(G16=0,0,'판관비(SG&amp;A)'!G16/G16)</f>
        <v>0</v>
      </c>
      <c r="H32" s="8" t="n">
        <f aca="false">IF(H16=0,0,'판관비(SG&amp;A)'!H16/H16)</f>
        <v>0</v>
      </c>
      <c r="I32" s="8" t="n">
        <f aca="false">IF(I16=0,0,'판관비(SG&amp;A)'!I16/I16)</f>
        <v>0</v>
      </c>
      <c r="J32" s="8" t="n">
        <f aca="false">IF(J16=0,0,'판관비(SG&amp;A)'!J16/J16)</f>
        <v>17777.7777777778</v>
      </c>
      <c r="K32" s="8" t="n">
        <f aca="false">IF(K16=0,0,'판관비(SG&amp;A)'!K16/K16)</f>
        <v>17647.0588235294</v>
      </c>
      <c r="L32" s="8" t="n">
        <f aca="false">IF(L16=0,0,'판관비(SG&amp;A)'!L16/L16)</f>
        <v>16666.6666666667</v>
      </c>
      <c r="M32" s="8" t="n">
        <f aca="false">IF(M16=0,0,'판관비(SG&amp;A)'!M16/M16)</f>
        <v>17142.8571428571</v>
      </c>
      <c r="N32" s="8" t="n">
        <f aca="false">IF(N16=0,0,'판관비(SG&amp;A)'!N16/N16)</f>
        <v>20000</v>
      </c>
      <c r="O32" s="8" t="n">
        <f aca="false">IF(O16=0,0,'판관비(SG&amp;A)'!O16/O16)</f>
        <v>20000</v>
      </c>
      <c r="P32" s="8" t="n">
        <f aca="false">IF(P16=0,0,'판관비(SG&amp;A)'!P16/P16)</f>
        <v>20000</v>
      </c>
      <c r="Q32" s="8" t="n">
        <f aca="false">IF(Q16=0,0,'판관비(SG&amp;A)'!Q16/Q16)</f>
        <v>20000</v>
      </c>
      <c r="R32" s="8" t="n">
        <f aca="false">IF(R16=0,0,'판관비(SG&amp;A)'!R16/R16)</f>
        <v>20000</v>
      </c>
      <c r="S32" s="8" t="n">
        <f aca="false">IF(S16=0,0,'판관비(SG&amp;A)'!S16/S16)</f>
        <v>20000</v>
      </c>
      <c r="T32" s="8" t="n">
        <f aca="false">IF(T16=0,0,'판관비(SG&amp;A)'!T16/T16)</f>
        <v>20000</v>
      </c>
      <c r="U32" s="8" t="n">
        <f aca="false">IF(U16=0,0,'판관비(SG&amp;A)'!U16/U16)</f>
        <v>20000</v>
      </c>
      <c r="V32" s="8" t="n">
        <f aca="false">IF(V16=0,0,'판관비(SG&amp;A)'!V16/V16)</f>
        <v>20000</v>
      </c>
      <c r="W32" s="8" t="n">
        <f aca="false">IF(W16=0,0,'판관비(SG&amp;A)'!W16/W16)</f>
        <v>20000</v>
      </c>
      <c r="X32" s="8" t="n">
        <f aca="false">IF(X16=0,0,'판관비(SG&amp;A)'!X16/X16)</f>
        <v>20000</v>
      </c>
      <c r="Y32" s="8" t="n">
        <f aca="false">IF(Y16=0,0,'판관비(SG&amp;A)'!Y16/Y16)</f>
        <v>20000</v>
      </c>
      <c r="Z32" s="8" t="n">
        <f aca="false">IF(Z16=0,0,'판관비(SG&amp;A)'!Z16/Z16)</f>
        <v>24000</v>
      </c>
      <c r="AA32" s="8" t="n">
        <f aca="false">IF(AA16=0,0,'판관비(SG&amp;A)'!AA16/AA16)</f>
        <v>24000</v>
      </c>
      <c r="AB32" s="8" t="n">
        <f aca="false">IF(AB16=0,0,'판관비(SG&amp;A)'!AB16/AB16)</f>
        <v>24000</v>
      </c>
      <c r="AC32" s="8" t="n">
        <f aca="false">IF(AC16=0,0,'판관비(SG&amp;A)'!AC16/AC16)</f>
        <v>24000</v>
      </c>
      <c r="AD32" s="8" t="n">
        <f aca="false">IF(AD16=0,0,'판관비(SG&amp;A)'!AD16/AD16)</f>
        <v>24000</v>
      </c>
      <c r="AE32" s="8" t="n">
        <f aca="false">IF(AE16=0,0,'판관비(SG&amp;A)'!AE16/AE16)</f>
        <v>24000</v>
      </c>
      <c r="AF32" s="8" t="n">
        <f aca="false">IF(AF16=0,0,'판관비(SG&amp;A)'!AF16/AF16)</f>
        <v>24000</v>
      </c>
      <c r="AG32" s="8" t="n">
        <f aca="false">IF(AG16=0,0,'판관비(SG&amp;A)'!AG16/AG16)</f>
        <v>24000</v>
      </c>
      <c r="AH32" s="8" t="n">
        <f aca="false">IF(AH16=0,0,'판관비(SG&amp;A)'!AH16/AH16)</f>
        <v>24000</v>
      </c>
      <c r="AI32" s="8" t="n">
        <f aca="false">IF(AI16=0,0,'판관비(SG&amp;A)'!AI16/AI16)</f>
        <v>24000</v>
      </c>
      <c r="AJ32" s="8" t="n">
        <f aca="false">IF(AJ16=0,0,'판관비(SG&amp;A)'!AJ16/AJ16)</f>
        <v>24000</v>
      </c>
      <c r="AK32" s="8" t="n">
        <f aca="false">IF(AK16=0,0,'판관비(SG&amp;A)'!AK16/AK16)</f>
        <v>24000</v>
      </c>
      <c r="AL32" s="8" t="n">
        <f aca="false">IF(AL16=0,0,'판관비(SG&amp;A)'!AL16/AL16)</f>
        <v>26000</v>
      </c>
      <c r="AM32" s="8" t="n">
        <f aca="false">IF(AM16=0,0,'판관비(SG&amp;A)'!AM16/AM16)</f>
        <v>26000</v>
      </c>
      <c r="AN32" s="8" t="n">
        <f aca="false">IF(AN16=0,0,'판관비(SG&amp;A)'!AN16/AN16)</f>
        <v>26000</v>
      </c>
      <c r="AO32" s="8" t="n">
        <f aca="false">IF(AO16=0,0,'판관비(SG&amp;A)'!AO16/AO16)</f>
        <v>26000</v>
      </c>
      <c r="AP32" s="8" t="n">
        <f aca="false">IF(AP16=0,0,'판관비(SG&amp;A)'!AP16/AP16)</f>
        <v>17341.0404624277</v>
      </c>
      <c r="AQ32" s="8" t="n">
        <f aca="false">IF(AQ16=0,0,'판관비(SG&amp;A)'!AQ16/AQ16)</f>
        <v>20000</v>
      </c>
      <c r="AR32" s="8" t="n">
        <f aca="false">IF(AR16=0,0,'판관비(SG&amp;A)'!AR16/AR16)</f>
        <v>24000</v>
      </c>
      <c r="AS32" s="8" t="n">
        <f aca="false">IF(AS16=0,0,'판관비(SG&amp;A)'!AS16/AS16)</f>
        <v>26000</v>
      </c>
      <c r="AT32" s="2" t="s">
        <v>427</v>
      </c>
    </row>
    <row r="33" customFormat="false" ht="15" hidden="false" customHeight="false" outlineLevel="0" collapsed="false">
      <c r="A33" s="27" t="s">
        <v>385</v>
      </c>
      <c r="B33" s="2" t="s">
        <v>428</v>
      </c>
      <c r="C33" s="17" t="s">
        <v>401</v>
      </c>
      <c r="D33" s="2"/>
      <c r="F33" s="37" t="n">
        <f aca="false">IF('손익계산서(P&amp;L)'!F5=0,0,SUMIF('매출(Revenue)'!$E$5:$E$22,"반복*",'매출(Revenue)'!F5:F22)/'손익계산서(P&amp;L)'!F5)</f>
        <v>0</v>
      </c>
      <c r="G33" s="37" t="n">
        <f aca="false">IF('손익계산서(P&amp;L)'!G5=0,0,SUMIF('매출(Revenue)'!$E$5:$E$22,"반복*",'매출(Revenue)'!G5:G22)/'손익계산서(P&amp;L)'!G5)</f>
        <v>0</v>
      </c>
      <c r="H33" s="37" t="n">
        <f aca="false">IF('손익계산서(P&amp;L)'!H5=0,0,SUMIF('매출(Revenue)'!$E$5:$E$22,"반복*",'매출(Revenue)'!H5:H22)/'손익계산서(P&amp;L)'!H5)</f>
        <v>0</v>
      </c>
      <c r="I33" s="37" t="n">
        <f aca="false">IF('손익계산서(P&amp;L)'!I5=0,0,SUMIF('매출(Revenue)'!$E$5:$E$22,"반복*",'매출(Revenue)'!I5:I22)/'손익계산서(P&amp;L)'!I5)</f>
        <v>0</v>
      </c>
      <c r="J33" s="37" t="n">
        <f aca="false">IF('손익계산서(P&amp;L)'!J5=0,0,SUMIF('매출(Revenue)'!$E$5:$E$22,"반복*",'매출(Revenue)'!J5:J22)/'손익계산서(P&amp;L)'!J5)</f>
        <v>0.161676646706587</v>
      </c>
      <c r="K33" s="37" t="n">
        <f aca="false">IF('손익계산서(P&amp;L)'!K5=0,0,SUMIF('매출(Revenue)'!$E$5:$E$22,"반복*",'매출(Revenue)'!K5:K22)/'손익계산서(P&amp;L)'!K5)</f>
        <v>0.320083682008368</v>
      </c>
      <c r="L33" s="37" t="n">
        <f aca="false">IF('손익계산서(P&amp;L)'!L5=0,0,SUMIF('매출(Revenue)'!$E$5:$E$22,"반복*",'매출(Revenue)'!L5:L22)/'손익계산서(P&amp;L)'!L5)</f>
        <v>0.271897413605738</v>
      </c>
      <c r="M33" s="37" t="n">
        <f aca="false">IF('손익계산서(P&amp;L)'!M5=0,0,SUMIF('매출(Revenue)'!$E$5:$E$22,"반복*",'매출(Revenue)'!M5:M22)/'손익계산서(P&amp;L)'!M5)</f>
        <v>0.459106831920242</v>
      </c>
      <c r="N33" s="37" t="n">
        <f aca="false">IF('손익계산서(P&amp;L)'!N5=0,0,SUMIF('매출(Revenue)'!$E$5:$E$22,"반복*",'매출(Revenue)'!N5:N22)/'손익계산서(P&amp;L)'!N5)</f>
        <v>0.562913907284768</v>
      </c>
      <c r="O33" s="37" t="n">
        <f aca="false">IF('손익계산서(P&amp;L)'!O5=0,0,SUMIF('매출(Revenue)'!$E$5:$E$22,"반복*",'매출(Revenue)'!O5:O22)/'손익계산서(P&amp;L)'!O5)</f>
        <v>0.529725283637715</v>
      </c>
      <c r="P33" s="37" t="n">
        <f aca="false">IF('손익계산서(P&amp;L)'!P5=0,0,SUMIF('매출(Revenue)'!$E$5:$E$22,"반복*",'매출(Revenue)'!P5:P22)/'손익계산서(P&amp;L)'!P5)</f>
        <v>0.526408363398459</v>
      </c>
      <c r="Q33" s="37" t="n">
        <f aca="false">IF('손익계산서(P&amp;L)'!Q5=0,0,SUMIF('매출(Revenue)'!$E$5:$E$22,"반복*",'매출(Revenue)'!Q5:Q22)/'손익계산서(P&amp;L)'!Q5)</f>
        <v>0.367851427208013</v>
      </c>
      <c r="R33" s="37" t="n">
        <f aca="false">IF('손익계산서(P&amp;L)'!R5=0,0,SUMIF('매출(Revenue)'!$E$5:$E$22,"반복*",'매출(Revenue)'!R5:R22)/'손익계산서(P&amp;L)'!R5)</f>
        <v>0.638731002038952</v>
      </c>
      <c r="S33" s="37" t="n">
        <f aca="false">IF('손익계산서(P&amp;L)'!S5=0,0,SUMIF('매출(Revenue)'!$E$5:$E$22,"반복*",'매출(Revenue)'!S5:S22)/'손익계산서(P&amp;L)'!S5)</f>
        <v>0.646437049740605</v>
      </c>
      <c r="T33" s="37" t="n">
        <f aca="false">IF('손익계산서(P&amp;L)'!T5=0,0,SUMIF('매출(Revenue)'!$E$5:$E$22,"반복*",'매출(Revenue)'!T5:T22)/'손익계산서(P&amp;L)'!T5)</f>
        <v>0.596505877872952</v>
      </c>
      <c r="U33" s="37" t="n">
        <f aca="false">IF('손익계산서(P&amp;L)'!U5=0,0,SUMIF('매출(Revenue)'!$E$5:$E$22,"반복*",'매출(Revenue)'!U5:U22)/'손익계산서(P&amp;L)'!U5)</f>
        <v>0.5976236062811</v>
      </c>
      <c r="V33" s="37" t="n">
        <f aca="false">IF('손익계산서(P&amp;L)'!V5=0,0,SUMIF('매출(Revenue)'!$E$5:$E$22,"반복*",'매출(Revenue)'!V5:V22)/'손익계산서(P&amp;L)'!V5)</f>
        <v>0.580880654918765</v>
      </c>
      <c r="W33" s="37" t="n">
        <f aca="false">IF('손익계산서(P&amp;L)'!W5=0,0,SUMIF('매출(Revenue)'!$E$5:$E$22,"반복*",'매출(Revenue)'!W5:W22)/'손익계산서(P&amp;L)'!W5)</f>
        <v>0.436572676837674</v>
      </c>
      <c r="X33" s="37" t="n">
        <f aca="false">IF('손익계산서(P&amp;L)'!X5=0,0,SUMIF('매출(Revenue)'!$E$5:$E$22,"반복*",'매출(Revenue)'!X5:X22)/'손익계산서(P&amp;L)'!X5)</f>
        <v>0.687232964694606</v>
      </c>
      <c r="Y33" s="37" t="n">
        <f aca="false">IF('손익계산서(P&amp;L)'!Y5=0,0,SUMIF('매출(Revenue)'!$E$5:$E$22,"반복*",'매출(Revenue)'!Y5:Y22)/'손익계산서(P&amp;L)'!Y5)</f>
        <v>0.727553491026432</v>
      </c>
      <c r="Z33" s="37" t="n">
        <f aca="false">IF('손익계산서(P&amp;L)'!Z5=0,0,SUMIF('매출(Revenue)'!$E$5:$E$22,"반복*",'매출(Revenue)'!Z5:Z22)/'손익계산서(P&amp;L)'!Z5)</f>
        <v>0.664442143217636</v>
      </c>
      <c r="AA33" s="37" t="n">
        <f aca="false">IF('손익계산서(P&amp;L)'!AA5=0,0,SUMIF('매출(Revenue)'!$E$5:$E$22,"반복*",'매출(Revenue)'!AA5:AA22)/'손익계산서(P&amp;L)'!AA5)</f>
        <v>0.669463742151179</v>
      </c>
      <c r="AB33" s="37" t="n">
        <f aca="false">IF('손익계산서(P&amp;L)'!AB5=0,0,SUMIF('매출(Revenue)'!$E$5:$E$22,"반복*",'매출(Revenue)'!AB5:AB22)/'손익계산서(P&amp;L)'!AB5)</f>
        <v>0.655731021105486</v>
      </c>
      <c r="AC33" s="37" t="n">
        <f aca="false">IF('손익계산서(P&amp;L)'!AC5=0,0,SUMIF('매출(Revenue)'!$E$5:$E$22,"반복*",'매출(Revenue)'!AC5:AC22)/'손익계산서(P&amp;L)'!AC5)</f>
        <v>0.492776028567126</v>
      </c>
      <c r="AD33" s="37" t="n">
        <f aca="false">IF('손익계산서(P&amp;L)'!AD5=0,0,SUMIF('매출(Revenue)'!$E$5:$E$22,"반복*",'매출(Revenue)'!AD5:AD22)/'손익계산서(P&amp;L)'!AD5)</f>
        <v>0.73414489685391</v>
      </c>
      <c r="AE33" s="37" t="n">
        <f aca="false">IF('손익계산서(P&amp;L)'!AE5=0,0,SUMIF('매출(Revenue)'!$E$5:$E$22,"반복*",'매출(Revenue)'!AE5:AE22)/'손익계산서(P&amp;L)'!AE5)</f>
        <v>0.7552184801221</v>
      </c>
      <c r="AF33" s="37" t="n">
        <f aca="false">IF('손익계산서(P&amp;L)'!AF5=0,0,SUMIF('매출(Revenue)'!$E$5:$E$22,"반복*",'매출(Revenue)'!AF5:AF22)/'손익계산서(P&amp;L)'!AF5)</f>
        <v>0.71043630882429</v>
      </c>
      <c r="AG33" s="37" t="n">
        <f aca="false">IF('손익계산서(P&amp;L)'!AG5=0,0,SUMIF('매출(Revenue)'!$E$5:$E$22,"반복*",'매출(Revenue)'!AG5:AG22)/'손익계산서(P&amp;L)'!AG5)</f>
        <v>0.696040157065643</v>
      </c>
      <c r="AH33" s="37" t="n">
        <f aca="false">IF('손익계산서(P&amp;L)'!AH5=0,0,SUMIF('매출(Revenue)'!$E$5:$E$22,"반복*",'매출(Revenue)'!AH5:AH22)/'손익계산서(P&amp;L)'!AH5)</f>
        <v>0.663312120148778</v>
      </c>
      <c r="AI33" s="37" t="n">
        <f aca="false">IF('손익계산서(P&amp;L)'!AI5=0,0,SUMIF('매출(Revenue)'!$E$5:$E$22,"반복*",'매출(Revenue)'!AI5:AI22)/'손익계산서(P&amp;L)'!AI5)</f>
        <v>0.515681663909136</v>
      </c>
      <c r="AJ33" s="37" t="n">
        <f aca="false">IF('손익계산서(P&amp;L)'!AJ5=0,0,SUMIF('매출(Revenue)'!$E$5:$E$22,"반복*",'매출(Revenue)'!AJ5:AJ22)/'손익계산서(P&amp;L)'!AJ5)</f>
        <v>0.746736503537156</v>
      </c>
      <c r="AK33" s="37" t="n">
        <f aca="false">IF('손익계산서(P&amp;L)'!AK5=0,0,SUMIF('매출(Revenue)'!$E$5:$E$22,"반복*",'매출(Revenue)'!AK5:AK22)/'손익계산서(P&amp;L)'!AK5)</f>
        <v>0.782668937295607</v>
      </c>
      <c r="AL33" s="37" t="n">
        <f aca="false">IF('손익계산서(P&amp;L)'!AL5=0,0,SUMIF('매출(Revenue)'!$E$5:$E$22,"반복*",'매출(Revenue)'!AL5:AL22)/'손익계산서(P&amp;L)'!AL5)</f>
        <v>0.724229177522199</v>
      </c>
      <c r="AM33" s="37" t="n">
        <f aca="false">IF('손익계산서(P&amp;L)'!AM5=0,0,SUMIF('매출(Revenue)'!$E$5:$E$22,"반복*",'매출(Revenue)'!AM5:AM22)/'손익계산서(P&amp;L)'!AM5)</f>
        <v>0.719914624714669</v>
      </c>
      <c r="AN33" s="37" t="n">
        <f aca="false">IF('손익계산서(P&amp;L)'!AN5=0,0,SUMIF('매출(Revenue)'!$E$5:$E$22,"반복*",'매출(Revenue)'!AN5:AN22)/'손익계산서(P&amp;L)'!AN5)</f>
        <v>0.674189185464642</v>
      </c>
      <c r="AO33" s="37" t="n">
        <f aca="false">IF('손익계산서(P&amp;L)'!AO5=0,0,SUMIF('매출(Revenue)'!$E$5:$E$22,"반복*",'매출(Revenue)'!AO5:AO22)/'손익계산서(P&amp;L)'!AO5)</f>
        <v>0.508490854400584</v>
      </c>
      <c r="AP33" s="37" t="n">
        <f aca="false">IF('손익계산서(P&amp;L)'!AP5=0,0,SUMIF('매출(Revenue)'!$E$5:$E$22,"반복*",'매출(Revenue)'!AP5:AP22)/'손익계산서(P&amp;L)'!AP5)</f>
        <v>0.217287057878512</v>
      </c>
      <c r="AQ33" s="37" t="n">
        <f aca="false">IF('손익계산서(P&amp;L)'!AQ5=0,0,SUMIF('매출(Revenue)'!$E$5:$E$22,"반복*",'매출(Revenue)'!AQ5:AQ22)/'손익계산서(P&amp;L)'!AQ5)</f>
        <v>0.569795231151678</v>
      </c>
      <c r="AR33" s="37" t="n">
        <f aca="false">IF('손익계산서(P&amp;L)'!AR5=0,0,SUMIF('매출(Revenue)'!$E$5:$E$22,"반복*",'매출(Revenue)'!AR5:AR22)/'손익계산서(P&amp;L)'!AR5)</f>
        <v>0.662377530594406</v>
      </c>
      <c r="AS33" s="37" t="n">
        <f aca="false">IF('손익계산서(P&amp;L)'!AS5=0,0,SUMIF('매출(Revenue)'!$E$5:$E$22,"반복*",'매출(Revenue)'!AS5:AS22)/'손익계산서(P&amp;L)'!AS5)</f>
        <v>0.638920422540665</v>
      </c>
      <c r="AT33" s="2"/>
    </row>
    <row r="35" customFormat="false" ht="15" hidden="false" customHeight="false" outlineLevel="0" collapsed="false">
      <c r="A35" s="17" t="s">
        <v>429</v>
      </c>
      <c r="B35" s="2" t="s">
        <v>430</v>
      </c>
      <c r="C35" s="2" t="s">
        <v>384</v>
      </c>
      <c r="D35" s="2" t="s">
        <v>431</v>
      </c>
      <c r="F35" s="7" t="n">
        <v>0</v>
      </c>
      <c r="G35" s="7" t="n">
        <v>0</v>
      </c>
      <c r="H35" s="7" t="n">
        <v>0</v>
      </c>
      <c r="I35" s="7" t="n">
        <v>0</v>
      </c>
      <c r="J35" s="7" t="n">
        <v>0</v>
      </c>
      <c r="K35" s="7" t="n">
        <v>0</v>
      </c>
      <c r="L35" s="7" t="n">
        <v>0</v>
      </c>
      <c r="M35" s="7" t="n">
        <v>0</v>
      </c>
      <c r="N35" s="7" t="n">
        <v>0</v>
      </c>
      <c r="O35" s="7" t="n">
        <v>0</v>
      </c>
      <c r="P35" s="7" t="n">
        <v>4200000</v>
      </c>
      <c r="Q35" s="7" t="n">
        <v>4032000</v>
      </c>
      <c r="R35" s="7" t="n">
        <v>3386880</v>
      </c>
      <c r="S35" s="7" t="n">
        <v>3371827.2</v>
      </c>
      <c r="T35" s="7" t="n">
        <v>4248502.272</v>
      </c>
      <c r="U35" s="7" t="n">
        <v>6344430.05952</v>
      </c>
      <c r="V35" s="7" t="n">
        <v>8882202.08332801</v>
      </c>
      <c r="W35" s="7" t="n">
        <v>7958453.06666189</v>
      </c>
      <c r="X35" s="7" t="n">
        <v>6685100.57599599</v>
      </c>
      <c r="Y35" s="7" t="n">
        <v>5823465.3906454</v>
      </c>
      <c r="Z35" s="7" t="n">
        <v>7861678.27737129</v>
      </c>
      <c r="AA35" s="7" t="n">
        <v>10089153.7892932</v>
      </c>
      <c r="AB35" s="7" t="n">
        <v>13482778.2456918</v>
      </c>
      <c r="AC35" s="7" t="n">
        <v>12134500.4211226</v>
      </c>
      <c r="AD35" s="7" t="n">
        <v>9555919.08163403</v>
      </c>
      <c r="AE35" s="7" t="n">
        <v>8918857.8095251</v>
      </c>
      <c r="AF35" s="7" t="n">
        <v>10535400.7875015</v>
      </c>
      <c r="AG35" s="7" t="n">
        <v>14749561.1025021</v>
      </c>
      <c r="AH35" s="7" t="n">
        <v>19358798.9470341</v>
      </c>
      <c r="AI35" s="7" t="n">
        <v>16261391.1155086</v>
      </c>
      <c r="AJ35" s="7" t="n">
        <v>12805845.503463</v>
      </c>
      <c r="AK35" s="7" t="n">
        <v>10458107.1611615</v>
      </c>
      <c r="AL35" s="7" t="n">
        <v>13849521.9119953</v>
      </c>
      <c r="AM35" s="7" t="n">
        <v>17435009.251434</v>
      </c>
      <c r="AN35" s="7" t="n">
        <v>22855712.127789</v>
      </c>
      <c r="AO35" s="7" t="n">
        <v>20178328.7071051</v>
      </c>
      <c r="AP35" s="36" t="n">
        <f aca="false">SUM(F35:M35)</f>
        <v>0</v>
      </c>
      <c r="AQ35" s="36" t="n">
        <f aca="false">SUM(N35:Y35)</f>
        <v>54932860.6481513</v>
      </c>
      <c r="AR35" s="36" t="n">
        <f aca="false">SUM(Z35:AK35)</f>
        <v>146211992.241809</v>
      </c>
      <c r="AS35" s="36" t="n">
        <f aca="false">SUM(AL35:AO35)</f>
        <v>74318571.9983234</v>
      </c>
      <c r="AT35" s="2" t="s">
        <v>432</v>
      </c>
    </row>
    <row r="36" customFormat="false" ht="15" hidden="false" customHeight="false" outlineLevel="0" collapsed="false">
      <c r="A36" s="17" t="s">
        <v>429</v>
      </c>
      <c r="B36" s="2" t="s">
        <v>433</v>
      </c>
      <c r="C36" s="2" t="s">
        <v>384</v>
      </c>
      <c r="D36" s="2" t="s">
        <v>431</v>
      </c>
      <c r="F36" s="7" t="n">
        <v>0</v>
      </c>
      <c r="G36" s="7" t="n">
        <v>0</v>
      </c>
      <c r="H36" s="7" t="n">
        <v>0</v>
      </c>
      <c r="I36" s="7" t="n">
        <v>0</v>
      </c>
      <c r="J36" s="7" t="n">
        <v>0</v>
      </c>
      <c r="K36" s="7" t="n">
        <v>0</v>
      </c>
      <c r="L36" s="7" t="n">
        <v>0</v>
      </c>
      <c r="M36" s="7" t="n">
        <v>0</v>
      </c>
      <c r="N36" s="7" t="n">
        <v>0</v>
      </c>
      <c r="O36" s="7" t="n">
        <v>0</v>
      </c>
      <c r="P36" s="7" t="n">
        <v>0</v>
      </c>
      <c r="Q36" s="7" t="n">
        <v>0</v>
      </c>
      <c r="R36" s="7" t="n">
        <v>1800000</v>
      </c>
      <c r="S36" s="7" t="n">
        <v>1840000</v>
      </c>
      <c r="T36" s="7" t="n">
        <v>2380500</v>
      </c>
      <c r="U36" s="7" t="n">
        <v>3650100</v>
      </c>
      <c r="V36" s="7" t="n">
        <v>5247018.75</v>
      </c>
      <c r="W36" s="7" t="n">
        <v>4827257.25</v>
      </c>
      <c r="X36" s="7" t="n">
        <v>4163509.378125</v>
      </c>
      <c r="Y36" s="7" t="n">
        <v>3724027.83265625</v>
      </c>
      <c r="Z36" s="7" t="n">
        <v>5075317.93193437</v>
      </c>
      <c r="AA36" s="7" t="n">
        <v>6575356.34292831</v>
      </c>
      <c r="AB36" s="7" t="n">
        <v>8870753.46627783</v>
      </c>
      <c r="AC36" s="7" t="n">
        <v>8059713.149361</v>
      </c>
      <c r="AD36" s="7" t="n">
        <v>6407471.953742</v>
      </c>
      <c r="AE36" s="7" t="n">
        <v>6037262.46308135</v>
      </c>
      <c r="AF36" s="7" t="n">
        <v>7199435.48722451</v>
      </c>
      <c r="AG36" s="7" t="n">
        <v>10175202.1552773</v>
      </c>
      <c r="AH36" s="7" t="n">
        <v>13482142.8557424</v>
      </c>
      <c r="AI36" s="7" t="n">
        <v>11432857.1416696</v>
      </c>
      <c r="AJ36" s="7" t="n">
        <v>9089121.42762732</v>
      </c>
      <c r="AK36" s="7" t="n">
        <v>7493475.6658883</v>
      </c>
      <c r="AL36" s="7" t="n">
        <v>9923502.7746835</v>
      </c>
      <c r="AM36" s="7" t="n">
        <v>12492587.3819071</v>
      </c>
      <c r="AN36" s="7" t="n">
        <v>16376646.3679182</v>
      </c>
      <c r="AO36" s="7" t="n">
        <v>14458239.2219621</v>
      </c>
      <c r="AP36" s="36" t="n">
        <f aca="false">SUM(F36:M36)</f>
        <v>0</v>
      </c>
      <c r="AQ36" s="36" t="n">
        <f aca="false">SUM(N36:Y36)</f>
        <v>27632413.2107812</v>
      </c>
      <c r="AR36" s="36" t="n">
        <f aca="false">SUM(Z36:AK36)</f>
        <v>99898110.0407543</v>
      </c>
      <c r="AS36" s="36" t="n">
        <f aca="false">SUM(AL36:AO36)</f>
        <v>53250975.746471</v>
      </c>
      <c r="AT36" s="2"/>
    </row>
    <row r="37" customFormat="false" ht="15" hidden="false" customHeight="false" outlineLevel="0" collapsed="false">
      <c r="A37" s="27" t="s">
        <v>434</v>
      </c>
      <c r="B37" s="17" t="s">
        <v>435</v>
      </c>
      <c r="C37" s="2" t="s">
        <v>384</v>
      </c>
      <c r="D37" s="2"/>
      <c r="F37" s="9" t="n">
        <f aca="false">F35+F36</f>
        <v>0</v>
      </c>
      <c r="G37" s="9" t="n">
        <f aca="false">G35+G36</f>
        <v>0</v>
      </c>
      <c r="H37" s="9" t="n">
        <f aca="false">H35+H36</f>
        <v>0</v>
      </c>
      <c r="I37" s="9" t="n">
        <f aca="false">I35+I36</f>
        <v>0</v>
      </c>
      <c r="J37" s="9" t="n">
        <f aca="false">J35+J36</f>
        <v>0</v>
      </c>
      <c r="K37" s="9" t="n">
        <f aca="false">K35+K36</f>
        <v>0</v>
      </c>
      <c r="L37" s="9" t="n">
        <f aca="false">L35+L36</f>
        <v>0</v>
      </c>
      <c r="M37" s="9" t="n">
        <f aca="false">M35+M36</f>
        <v>0</v>
      </c>
      <c r="N37" s="9" t="n">
        <f aca="false">N35+N36</f>
        <v>0</v>
      </c>
      <c r="O37" s="9" t="n">
        <f aca="false">O35+O36</f>
        <v>0</v>
      </c>
      <c r="P37" s="9" t="n">
        <f aca="false">P35+P36</f>
        <v>4200000</v>
      </c>
      <c r="Q37" s="9" t="n">
        <f aca="false">Q35+Q36</f>
        <v>4032000</v>
      </c>
      <c r="R37" s="9" t="n">
        <f aca="false">R35+R36</f>
        <v>5186880</v>
      </c>
      <c r="S37" s="9" t="n">
        <f aca="false">S35+S36</f>
        <v>5211827.2</v>
      </c>
      <c r="T37" s="9" t="n">
        <f aca="false">T35+T36</f>
        <v>6629002.272</v>
      </c>
      <c r="U37" s="9" t="n">
        <f aca="false">U35+U36</f>
        <v>9994530.05952</v>
      </c>
      <c r="V37" s="9" t="n">
        <f aca="false">V35+V36</f>
        <v>14129220.833328</v>
      </c>
      <c r="W37" s="9" t="n">
        <f aca="false">W35+W36</f>
        <v>12785710.3166619</v>
      </c>
      <c r="X37" s="9" t="n">
        <f aca="false">X35+X36</f>
        <v>10848609.954121</v>
      </c>
      <c r="Y37" s="9" t="n">
        <f aca="false">Y35+Y36</f>
        <v>9547493.22330165</v>
      </c>
      <c r="Z37" s="9" t="n">
        <f aca="false">Z35+Z36</f>
        <v>12936996.2093057</v>
      </c>
      <c r="AA37" s="9" t="n">
        <f aca="false">AA35+AA36</f>
        <v>16664510.1322215</v>
      </c>
      <c r="AB37" s="9" t="n">
        <f aca="false">AB35+AB36</f>
        <v>22353531.7119696</v>
      </c>
      <c r="AC37" s="9" t="n">
        <f aca="false">AC35+AC36</f>
        <v>20194213.5704836</v>
      </c>
      <c r="AD37" s="9" t="n">
        <f aca="false">AD35+AD36</f>
        <v>15963391.035376</v>
      </c>
      <c r="AE37" s="9" t="n">
        <f aca="false">AE35+AE36</f>
        <v>14956120.2726064</v>
      </c>
      <c r="AF37" s="9" t="n">
        <f aca="false">AF35+AF36</f>
        <v>17734836.274726</v>
      </c>
      <c r="AG37" s="9" t="n">
        <f aca="false">AG35+AG36</f>
        <v>24924763.2577794</v>
      </c>
      <c r="AH37" s="9" t="n">
        <f aca="false">AH35+AH36</f>
        <v>32840941.8027765</v>
      </c>
      <c r="AI37" s="9" t="n">
        <f aca="false">AI35+AI36</f>
        <v>27694248.2571782</v>
      </c>
      <c r="AJ37" s="9" t="n">
        <f aca="false">AJ35+AJ36</f>
        <v>21894966.9310903</v>
      </c>
      <c r="AK37" s="9" t="n">
        <f aca="false">AK35+AK36</f>
        <v>17951582.8270498</v>
      </c>
      <c r="AL37" s="9" t="n">
        <f aca="false">AL35+AL36</f>
        <v>23773024.6866788</v>
      </c>
      <c r="AM37" s="9" t="n">
        <f aca="false">AM35+AM36</f>
        <v>29927596.6333412</v>
      </c>
      <c r="AN37" s="9" t="n">
        <f aca="false">AN35+AN36</f>
        <v>39232358.4957072</v>
      </c>
      <c r="AO37" s="9" t="n">
        <f aca="false">AO35+AO36</f>
        <v>34636567.9290672</v>
      </c>
      <c r="AP37" s="9" t="n">
        <f aca="false">AP35+AP36</f>
        <v>0</v>
      </c>
      <c r="AQ37" s="9" t="n">
        <f aca="false">AQ35+AQ36</f>
        <v>82565273.8589325</v>
      </c>
      <c r="AR37" s="9" t="n">
        <f aca="false">AR35+AR36</f>
        <v>246110102.282563</v>
      </c>
      <c r="AS37" s="9" t="n">
        <f aca="false">AS35+AS36</f>
        <v>127569547.744794</v>
      </c>
      <c r="AT37" s="2"/>
    </row>
    <row r="38" customFormat="false" ht="15" hidden="false" customHeight="false" outlineLevel="0" collapsed="false">
      <c r="A38" s="27" t="s">
        <v>434</v>
      </c>
      <c r="B38" s="2" t="s">
        <v>436</v>
      </c>
      <c r="C38" s="17" t="s">
        <v>401</v>
      </c>
      <c r="D38" s="2"/>
      <c r="F38" s="37" t="n">
        <f aca="false">IF(F37=0,0,'손익계산서(P&amp;L)'!F7/F37)</f>
        <v>0</v>
      </c>
      <c r="G38" s="37" t="n">
        <f aca="false">IF(G37=0,0,'손익계산서(P&amp;L)'!G7/G37)</f>
        <v>0</v>
      </c>
      <c r="H38" s="37" t="n">
        <f aca="false">IF(H37=0,0,'손익계산서(P&amp;L)'!H7/H37)</f>
        <v>0</v>
      </c>
      <c r="I38" s="37" t="n">
        <f aca="false">IF(I37=0,0,'손익계산서(P&amp;L)'!I7/I37)</f>
        <v>0</v>
      </c>
      <c r="J38" s="37" t="n">
        <f aca="false">IF(J37=0,0,'손익계산서(P&amp;L)'!J7/J37)</f>
        <v>0</v>
      </c>
      <c r="K38" s="37" t="n">
        <f aca="false">IF(K37=0,0,'손익계산서(P&amp;L)'!K7/K37)</f>
        <v>0</v>
      </c>
      <c r="L38" s="37" t="n">
        <f aca="false">IF(L37=0,0,'손익계산서(P&amp;L)'!L7/L37)</f>
        <v>0</v>
      </c>
      <c r="M38" s="37" t="n">
        <f aca="false">IF(M37=0,0,'손익계산서(P&amp;L)'!M7/M37)</f>
        <v>0</v>
      </c>
      <c r="N38" s="37" t="n">
        <f aca="false">IF(N37=0,0,'손익계산서(P&amp;L)'!N7/N37)</f>
        <v>0</v>
      </c>
      <c r="O38" s="37" t="n">
        <f aca="false">IF(O37=0,0,'손익계산서(P&amp;L)'!O7/O37)</f>
        <v>0</v>
      </c>
      <c r="P38" s="37" t="n">
        <f aca="false">IF(P37=0,0,'손익계산서(P&amp;L)'!P7/P37)</f>
        <v>0.2</v>
      </c>
      <c r="Q38" s="37" t="n">
        <f aca="false">IF(Q37=0,0,'손익계산서(P&amp;L)'!Q7/Q37)</f>
        <v>0.2</v>
      </c>
      <c r="R38" s="37" t="n">
        <f aca="false">IF(R37=0,0,'손익계산서(P&amp;L)'!R7/R37)</f>
        <v>0.217351471404775</v>
      </c>
      <c r="S38" s="37" t="n">
        <f aca="false">IF(S37=0,0,'손익계산서(P&amp;L)'!S7/S37)</f>
        <v>0.217652265984567</v>
      </c>
      <c r="T38" s="37" t="n">
        <f aca="false">IF(T37=0,0,'손익계산서(P&amp;L)'!T7/T37)</f>
        <v>0.217955122161105</v>
      </c>
      <c r="U38" s="37" t="n">
        <f aca="false">IF(U37=0,0,'손익계산서(P&amp;L)'!U7/U37)</f>
        <v>0.218260487187405</v>
      </c>
      <c r="V38" s="37" t="n">
        <f aca="false">IF(V37=0,0,'손익계산서(P&amp;L)'!V7/V37)</f>
        <v>0.218567961845112</v>
      </c>
      <c r="W38" s="37" t="n">
        <f aca="false">IF(W37=0,0,'손익계산서(P&amp;L)'!W7/W37)</f>
        <v>0.218877475767075</v>
      </c>
      <c r="X38" s="37" t="n">
        <f aca="false">IF(X37=0,0,'손익계산서(P&amp;L)'!X7/X37)</f>
        <v>0.219189095198019</v>
      </c>
      <c r="Y38" s="37" t="n">
        <f aca="false">IF(Y37=0,0,'손익계산서(P&amp;L)'!Y7/Y37)</f>
        <v>0.219502643362472</v>
      </c>
      <c r="Z38" s="37" t="n">
        <f aca="false">IF(Z37=0,0,'손익계산서(P&amp;L)'!Z7/Z37)</f>
        <v>0.21961550842508</v>
      </c>
      <c r="AA38" s="37" t="n">
        <f aca="false">IF(AA37=0,0,'손익계산서(P&amp;L)'!AA7/AA37)</f>
        <v>0.219728631141699</v>
      </c>
      <c r="AB38" s="37" t="n">
        <f aca="false">IF(AB37=0,0,'손익계산서(P&amp;L)'!AB7/AB37)</f>
        <v>0.219841905222009</v>
      </c>
      <c r="AC38" s="37" t="n">
        <f aca="false">IF(AC37=0,0,'손익계산서(P&amp;L)'!AC7/AC37)</f>
        <v>0.219955532533948</v>
      </c>
      <c r="AD38" s="37" t="n">
        <f aca="false">IF(AD37=0,0,'손익계산서(P&amp;L)'!AD7/AD37)</f>
        <v>0.220069281784479</v>
      </c>
      <c r="AE38" s="37" t="n">
        <f aca="false">IF(AE37=0,0,'손익계산서(P&amp;L)'!AE7/AE37)</f>
        <v>0.220183238699384</v>
      </c>
      <c r="AF38" s="37" t="n">
        <f aca="false">IF(AF37=0,0,'손익계산서(P&amp;L)'!AF7/AF37)</f>
        <v>0.220297438300448</v>
      </c>
      <c r="AG38" s="37" t="n">
        <f aca="false">IF(AG37=0,0,'손익계산서(P&amp;L)'!AG7/AG37)</f>
        <v>0.220411842759843</v>
      </c>
      <c r="AH38" s="37" t="n">
        <f aca="false">IF(AH37=0,0,'손익계산서(P&amp;L)'!AH7/AH37)</f>
        <v>0.220526440547686</v>
      </c>
      <c r="AI38" s="37" t="n">
        <f aca="false">IF(AI37=0,0,'손익계산서(P&amp;L)'!AI7/AI37)</f>
        <v>0.220641193913476</v>
      </c>
      <c r="AJ38" s="37" t="n">
        <f aca="false">IF(AJ37=0,0,'손익계산서(P&amp;L)'!AJ7/AJ37)</f>
        <v>0.220756213755071</v>
      </c>
      <c r="AK38" s="37" t="n">
        <f aca="false">IF(AK37=0,0,'손익계산서(P&amp;L)'!AK7/AK37)</f>
        <v>0.22087138711944</v>
      </c>
      <c r="AL38" s="37" t="n">
        <f aca="false">IF(AL37=0,0,'손익계산서(P&amp;L)'!AL7/AL37)</f>
        <v>0.220871347638918</v>
      </c>
      <c r="AM38" s="37" t="n">
        <f aca="false">IF(AM37=0,0,'손익계산서(P&amp;L)'!AM7/AM37)</f>
        <v>0.220871361004508</v>
      </c>
      <c r="AN38" s="37" t="n">
        <f aca="false">IF(AN37=0,0,'손익계산서(P&amp;L)'!AN7/AN37)</f>
        <v>0.220871350391747</v>
      </c>
      <c r="AO38" s="37" t="n">
        <f aca="false">IF(AO37=0,0,'손익계산서(P&amp;L)'!AO7/AO37)</f>
        <v>0.220871363919977</v>
      </c>
      <c r="AP38" s="37" t="n">
        <f aca="false">IF(AP37=0,0,'손익계산서(P&amp;L)'!AP7/AP37)</f>
        <v>0</v>
      </c>
      <c r="AQ38" s="37" t="n">
        <f aca="false">IF(AQ37=0,0,'손익계산서(P&amp;L)'!AQ7/AQ37)</f>
        <v>0.216733660092669</v>
      </c>
      <c r="AR38" s="37" t="n">
        <f aca="false">IF(AR37=0,0,'손익계산서(P&amp;L)'!AR7/AR37)</f>
        <v>0.220295414520419</v>
      </c>
      <c r="AS38" s="37" t="n">
        <f aca="false">IF(AS37=0,0,'손익계산서(P&amp;L)'!AS7/AS37)</f>
        <v>0.22087135604155</v>
      </c>
      <c r="AT38" s="2"/>
    </row>
    <row r="39" customFormat="false" ht="15" hidden="false" customHeight="false" outlineLevel="0" collapsed="false">
      <c r="A39" s="27" t="s">
        <v>434</v>
      </c>
      <c r="B39" s="2" t="s">
        <v>437</v>
      </c>
      <c r="C39" s="2" t="s">
        <v>384</v>
      </c>
      <c r="D39" s="2"/>
      <c r="F39" s="8" t="n">
        <f aca="false">F37-'손익계산서(P&amp;L)'!F7</f>
        <v>0</v>
      </c>
      <c r="G39" s="8" t="n">
        <f aca="false">G37-'손익계산서(P&amp;L)'!G7</f>
        <v>0</v>
      </c>
      <c r="H39" s="8" t="n">
        <f aca="false">H37-'손익계산서(P&amp;L)'!H7</f>
        <v>0</v>
      </c>
      <c r="I39" s="8" t="n">
        <f aca="false">I37-'손익계산서(P&amp;L)'!I7</f>
        <v>0</v>
      </c>
      <c r="J39" s="8" t="n">
        <f aca="false">J37-'손익계산서(P&amp;L)'!J7</f>
        <v>0</v>
      </c>
      <c r="K39" s="8" t="n">
        <f aca="false">K37-'손익계산서(P&amp;L)'!K7</f>
        <v>0</v>
      </c>
      <c r="L39" s="8" t="n">
        <f aca="false">L37-'손익계산서(P&amp;L)'!L7</f>
        <v>0</v>
      </c>
      <c r="M39" s="8" t="n">
        <f aca="false">M37-'손익계산서(P&amp;L)'!M7</f>
        <v>0</v>
      </c>
      <c r="N39" s="8" t="n">
        <f aca="false">N37-'손익계산서(P&amp;L)'!N7</f>
        <v>0</v>
      </c>
      <c r="O39" s="8" t="n">
        <f aca="false">O37-'손익계산서(P&amp;L)'!O7</f>
        <v>0</v>
      </c>
      <c r="P39" s="8" t="n">
        <f aca="false">P37-'손익계산서(P&amp;L)'!P7</f>
        <v>3360000</v>
      </c>
      <c r="Q39" s="8" t="n">
        <f aca="false">Q37-'손익계산서(P&amp;L)'!Q7</f>
        <v>3225600</v>
      </c>
      <c r="R39" s="8" t="n">
        <f aca="false">R37-'손익계산서(P&amp;L)'!R7</f>
        <v>4059504</v>
      </c>
      <c r="S39" s="8" t="n">
        <f aca="false">S37-'손익계산서(P&amp;L)'!S7</f>
        <v>4077461.2</v>
      </c>
      <c r="T39" s="8" t="n">
        <f aca="false">T37-'손익계산서(P&amp;L)'!T7</f>
        <v>5184177.272</v>
      </c>
      <c r="U39" s="8" t="n">
        <f aca="false">U37-'손익계산서(P&amp;L)'!U7</f>
        <v>7813119.05952</v>
      </c>
      <c r="V39" s="8" t="n">
        <f aca="false">V37-'손익계산서(P&amp;L)'!V7</f>
        <v>11041025.833328</v>
      </c>
      <c r="W39" s="8" t="n">
        <f aca="false">W37-'손익계산서(P&amp;L)'!W7</f>
        <v>9987206.31666189</v>
      </c>
      <c r="X39" s="8" t="n">
        <f aca="false">X37-'손익계산서(P&amp;L)'!X7</f>
        <v>8470712.95412099</v>
      </c>
      <c r="Y39" s="8" t="n">
        <f aca="false">Y37-'손익계산서(P&amp;L)'!Y7</f>
        <v>7451793.22330165</v>
      </c>
      <c r="Z39" s="8" t="n">
        <f aca="false">Z37-'손익계산서(P&amp;L)'!Z7</f>
        <v>10095831.2093057</v>
      </c>
      <c r="AA39" s="8" t="n">
        <f aca="false">AA37-'손익계산서(P&amp;L)'!AA7</f>
        <v>13002840.1322215</v>
      </c>
      <c r="AB39" s="8" t="n">
        <f aca="false">AB37-'손익계산서(P&amp;L)'!AB7</f>
        <v>17439288.7119696</v>
      </c>
      <c r="AC39" s="8" t="n">
        <f aca="false">AC37-'손익계산서(P&amp;L)'!AC7</f>
        <v>15752384.5704836</v>
      </c>
      <c r="AD39" s="8" t="n">
        <f aca="false">AD37-'손익계산서(P&amp;L)'!AD7</f>
        <v>12450339.035376</v>
      </c>
      <c r="AE39" s="8" t="n">
        <f aca="false">AE37-'손익계산서(P&amp;L)'!AE7</f>
        <v>11663033.2726064</v>
      </c>
      <c r="AF39" s="8" t="n">
        <f aca="false">AF37-'손익계산서(P&amp;L)'!AF7</f>
        <v>13827897.274726</v>
      </c>
      <c r="AG39" s="8" t="n">
        <f aca="false">AG37-'손익계산서(P&amp;L)'!AG7</f>
        <v>19431050.2577794</v>
      </c>
      <c r="AH39" s="8" t="n">
        <f aca="false">AH37-'손익계산서(P&amp;L)'!AH7</f>
        <v>25598645.8027765</v>
      </c>
      <c r="AI39" s="8" t="n">
        <f aca="false">AI37-'손익계산서(P&amp;L)'!AI7</f>
        <v>21583756.2571782</v>
      </c>
      <c r="AJ39" s="8" t="n">
        <f aca="false">AJ37-'손익계산서(P&amp;L)'!AJ7</f>
        <v>17061516.9310903</v>
      </c>
      <c r="AK39" s="8" t="n">
        <f aca="false">AK37-'손익계산서(P&amp;L)'!AK7</f>
        <v>13986591.8270498</v>
      </c>
      <c r="AL39" s="8" t="n">
        <f aca="false">AL37-'손익계산서(P&amp;L)'!AL7</f>
        <v>18522244.6866788</v>
      </c>
      <c r="AM39" s="8" t="n">
        <f aca="false">AM37-'손익계산서(P&amp;L)'!AM7</f>
        <v>23317447.6333412</v>
      </c>
      <c r="AN39" s="8" t="n">
        <f aca="false">AN37-'손익계산서(P&amp;L)'!AN7</f>
        <v>30567054.4957072</v>
      </c>
      <c r="AO39" s="8" t="n">
        <f aca="false">AO37-'손익계산서(P&amp;L)'!AO7</f>
        <v>26986341.9290672</v>
      </c>
      <c r="AP39" s="8" t="n">
        <f aca="false">AP37-'손익계산서(P&amp;L)'!AP7</f>
        <v>0</v>
      </c>
      <c r="AQ39" s="8" t="n">
        <f aca="false">AQ37-'손익계산서(P&amp;L)'!AQ7</f>
        <v>64670599.8589325</v>
      </c>
      <c r="AR39" s="8" t="n">
        <f aca="false">AR37-'손익계산서(P&amp;L)'!AR7</f>
        <v>191893175.282563</v>
      </c>
      <c r="AS39" s="8" t="n">
        <f aca="false">AS37-'손익계산서(P&amp;L)'!AS7</f>
        <v>99393088.7447944</v>
      </c>
      <c r="AT39" s="2" t="s">
        <v>438</v>
      </c>
    </row>
    <row r="40" customFormat="false" ht="15" hidden="false" customHeight="false" outlineLevel="0" collapsed="false">
      <c r="A40" s="17" t="s">
        <v>429</v>
      </c>
      <c r="B40" s="2" t="s">
        <v>439</v>
      </c>
      <c r="C40" s="2" t="s">
        <v>376</v>
      </c>
      <c r="D40" s="2" t="s">
        <v>440</v>
      </c>
      <c r="F40" s="7" t="n">
        <v>0</v>
      </c>
      <c r="G40" s="7" t="n">
        <v>0</v>
      </c>
      <c r="H40" s="7" t="n">
        <v>0</v>
      </c>
      <c r="I40" s="7" t="n">
        <v>0</v>
      </c>
      <c r="J40" s="7" t="n">
        <v>0</v>
      </c>
      <c r="K40" s="7" t="n">
        <v>0</v>
      </c>
      <c r="L40" s="7" t="n">
        <v>0</v>
      </c>
      <c r="M40" s="7" t="n">
        <v>0</v>
      </c>
      <c r="N40" s="7" t="n">
        <v>0</v>
      </c>
      <c r="O40" s="7" t="n">
        <v>0</v>
      </c>
      <c r="P40" s="7" t="n">
        <v>25</v>
      </c>
      <c r="Q40" s="7" t="n">
        <v>25</v>
      </c>
      <c r="R40" s="7" t="n">
        <v>27</v>
      </c>
      <c r="S40" s="7" t="n">
        <v>27</v>
      </c>
      <c r="T40" s="7" t="n">
        <v>30</v>
      </c>
      <c r="U40" s="7" t="n">
        <v>38</v>
      </c>
      <c r="V40" s="7" t="n">
        <v>47</v>
      </c>
      <c r="W40" s="7" t="n">
        <v>44</v>
      </c>
      <c r="X40" s="7" t="n">
        <v>39</v>
      </c>
      <c r="Y40" s="7" t="n">
        <v>36</v>
      </c>
      <c r="Z40" s="7" t="n">
        <v>43</v>
      </c>
      <c r="AA40" s="7" t="n">
        <v>51</v>
      </c>
      <c r="AB40" s="7" t="n">
        <v>62</v>
      </c>
      <c r="AC40" s="7" t="n">
        <v>57</v>
      </c>
      <c r="AD40" s="7" t="n">
        <v>48</v>
      </c>
      <c r="AE40" s="7" t="n">
        <v>46</v>
      </c>
      <c r="AF40" s="7" t="n">
        <v>51</v>
      </c>
      <c r="AG40" s="7" t="n">
        <v>65</v>
      </c>
      <c r="AH40" s="7" t="n">
        <v>80</v>
      </c>
      <c r="AI40" s="7" t="n">
        <v>69</v>
      </c>
      <c r="AJ40" s="7" t="n">
        <v>57</v>
      </c>
      <c r="AK40" s="7" t="n">
        <v>49</v>
      </c>
      <c r="AL40" s="7" t="n">
        <v>60</v>
      </c>
      <c r="AM40" s="7" t="n">
        <v>70</v>
      </c>
      <c r="AN40" s="7" t="n">
        <v>87</v>
      </c>
      <c r="AO40" s="7" t="n">
        <v>77</v>
      </c>
      <c r="AP40" s="36" t="n">
        <f aca="false">M40</f>
        <v>0</v>
      </c>
      <c r="AQ40" s="36" t="n">
        <f aca="false">Y40</f>
        <v>36</v>
      </c>
      <c r="AR40" s="36" t="n">
        <f aca="false">AK40</f>
        <v>49</v>
      </c>
      <c r="AS40" s="36" t="n">
        <f aca="false">AO40</f>
        <v>77</v>
      </c>
      <c r="AT40" s="2" t="s">
        <v>441</v>
      </c>
    </row>
    <row r="41" customFormat="false" ht="15" hidden="false" customHeight="false" outlineLevel="0" collapsed="false">
      <c r="A41" s="17" t="s">
        <v>429</v>
      </c>
      <c r="B41" s="2" t="s">
        <v>442</v>
      </c>
      <c r="C41" s="2" t="s">
        <v>376</v>
      </c>
      <c r="D41" s="2" t="s">
        <v>440</v>
      </c>
      <c r="F41" s="7" t="n">
        <v>0</v>
      </c>
      <c r="G41" s="7" t="n">
        <v>0</v>
      </c>
      <c r="H41" s="7" t="n">
        <v>0</v>
      </c>
      <c r="I41" s="7" t="n">
        <v>0</v>
      </c>
      <c r="J41" s="7" t="n">
        <v>0</v>
      </c>
      <c r="K41" s="7" t="n">
        <v>0</v>
      </c>
      <c r="L41" s="7" t="n">
        <v>0</v>
      </c>
      <c r="M41" s="7" t="n">
        <v>0</v>
      </c>
      <c r="N41" s="7" t="n">
        <v>0</v>
      </c>
      <c r="O41" s="7" t="n">
        <v>0</v>
      </c>
      <c r="P41" s="7" t="n">
        <v>8</v>
      </c>
      <c r="Q41" s="7" t="n">
        <v>8</v>
      </c>
      <c r="R41" s="7" t="n">
        <v>9</v>
      </c>
      <c r="S41" s="7" t="n">
        <v>9</v>
      </c>
      <c r="T41" s="7" t="n">
        <v>10</v>
      </c>
      <c r="U41" s="7" t="n">
        <v>12</v>
      </c>
      <c r="V41" s="7" t="n">
        <v>15</v>
      </c>
      <c r="W41" s="7" t="n">
        <v>14</v>
      </c>
      <c r="X41" s="7" t="n">
        <v>13</v>
      </c>
      <c r="Y41" s="7" t="n">
        <v>12</v>
      </c>
      <c r="Z41" s="7" t="n">
        <v>15</v>
      </c>
      <c r="AA41" s="7" t="n">
        <v>18</v>
      </c>
      <c r="AB41" s="7" t="n">
        <v>23</v>
      </c>
      <c r="AC41" s="7" t="n">
        <v>21</v>
      </c>
      <c r="AD41" s="7" t="n">
        <v>18</v>
      </c>
      <c r="AE41" s="7" t="n">
        <v>17</v>
      </c>
      <c r="AF41" s="7" t="n">
        <v>20</v>
      </c>
      <c r="AG41" s="7" t="n">
        <v>26</v>
      </c>
      <c r="AH41" s="7" t="n">
        <v>33</v>
      </c>
      <c r="AI41" s="7" t="n">
        <v>29</v>
      </c>
      <c r="AJ41" s="7" t="n">
        <v>24</v>
      </c>
      <c r="AK41" s="7" t="n">
        <v>21</v>
      </c>
      <c r="AL41" s="7" t="n">
        <v>26</v>
      </c>
      <c r="AM41" s="7" t="n">
        <v>32</v>
      </c>
      <c r="AN41" s="7" t="n">
        <v>41</v>
      </c>
      <c r="AO41" s="7" t="n">
        <v>37</v>
      </c>
      <c r="AP41" s="36" t="n">
        <f aca="false">M41</f>
        <v>0</v>
      </c>
      <c r="AQ41" s="36" t="n">
        <f aca="false">Y41</f>
        <v>12</v>
      </c>
      <c r="AR41" s="36" t="n">
        <f aca="false">AK41</f>
        <v>21</v>
      </c>
      <c r="AS41" s="36" t="n">
        <f aca="false">AO41</f>
        <v>37</v>
      </c>
      <c r="AT41" s="2"/>
    </row>
    <row r="43" customFormat="false" ht="15" hidden="false" customHeight="false" outlineLevel="0" collapsed="false">
      <c r="A43" s="17" t="s">
        <v>443</v>
      </c>
      <c r="B43" s="2" t="s">
        <v>444</v>
      </c>
      <c r="C43" s="2" t="s">
        <v>376</v>
      </c>
      <c r="D43" s="2" t="s">
        <v>445</v>
      </c>
      <c r="F43" s="7" t="n">
        <v>0</v>
      </c>
      <c r="G43" s="7" t="n">
        <v>0</v>
      </c>
      <c r="H43" s="7" t="n">
        <v>0</v>
      </c>
      <c r="I43" s="7" t="n">
        <v>0</v>
      </c>
      <c r="J43" s="7" t="n">
        <v>0</v>
      </c>
      <c r="K43" s="7" t="n">
        <v>0</v>
      </c>
      <c r="L43" s="7" t="n">
        <v>150</v>
      </c>
      <c r="M43" s="7" t="n">
        <v>0</v>
      </c>
      <c r="N43" s="7" t="n">
        <v>0</v>
      </c>
      <c r="O43" s="7" t="n">
        <v>0</v>
      </c>
      <c r="P43" s="7" t="n">
        <v>0</v>
      </c>
      <c r="Q43" s="7" t="n">
        <v>250</v>
      </c>
      <c r="R43" s="7" t="n">
        <v>0</v>
      </c>
      <c r="S43" s="7" t="n">
        <v>0</v>
      </c>
      <c r="T43" s="7" t="n">
        <v>0</v>
      </c>
      <c r="U43" s="7" t="n">
        <v>0</v>
      </c>
      <c r="V43" s="7" t="n">
        <v>0</v>
      </c>
      <c r="W43" s="7" t="n">
        <v>350</v>
      </c>
      <c r="X43" s="7" t="n">
        <v>0</v>
      </c>
      <c r="Y43" s="7" t="n">
        <v>0</v>
      </c>
      <c r="Z43" s="7" t="n">
        <v>0</v>
      </c>
      <c r="AA43" s="7" t="n">
        <v>0</v>
      </c>
      <c r="AB43" s="7" t="n">
        <v>0</v>
      </c>
      <c r="AC43" s="7" t="n">
        <v>450</v>
      </c>
      <c r="AD43" s="7" t="n">
        <v>0</v>
      </c>
      <c r="AE43" s="7" t="n">
        <v>0</v>
      </c>
      <c r="AF43" s="7" t="n">
        <v>0</v>
      </c>
      <c r="AG43" s="7" t="n">
        <v>0</v>
      </c>
      <c r="AH43" s="7" t="n">
        <v>0</v>
      </c>
      <c r="AI43" s="7" t="n">
        <v>550</v>
      </c>
      <c r="AJ43" s="7" t="n">
        <v>0</v>
      </c>
      <c r="AK43" s="7" t="n">
        <v>0</v>
      </c>
      <c r="AL43" s="7" t="n">
        <v>0</v>
      </c>
      <c r="AM43" s="7" t="n">
        <v>0</v>
      </c>
      <c r="AN43" s="7" t="n">
        <v>0</v>
      </c>
      <c r="AO43" s="7" t="n">
        <v>650</v>
      </c>
      <c r="AP43" s="36" t="n">
        <f aca="false">SUM(F43:M43)</f>
        <v>150</v>
      </c>
      <c r="AQ43" s="36" t="n">
        <f aca="false">SUM(N43:Y43)</f>
        <v>600</v>
      </c>
      <c r="AR43" s="36" t="n">
        <f aca="false">SUM(Z43:AK43)</f>
        <v>1000</v>
      </c>
      <c r="AS43" s="36" t="n">
        <f aca="false">SUM(AL43:AO43)</f>
        <v>650</v>
      </c>
      <c r="AT43" s="2" t="s">
        <v>446</v>
      </c>
    </row>
    <row r="44" customFormat="false" ht="15" hidden="false" customHeight="false" outlineLevel="0" collapsed="false">
      <c r="A44" s="27" t="s">
        <v>447</v>
      </c>
      <c r="B44" s="2" t="s">
        <v>448</v>
      </c>
      <c r="C44" s="2" t="s">
        <v>384</v>
      </c>
      <c r="D44" s="2"/>
      <c r="F44" s="8" t="n">
        <f aca="false">IF(F43=0,0,'매출(Revenue)'!F21/F43)</f>
        <v>0</v>
      </c>
      <c r="G44" s="8" t="n">
        <f aca="false">IF(G43=0,0,'매출(Revenue)'!G21/G43)</f>
        <v>0</v>
      </c>
      <c r="H44" s="8" t="n">
        <f aca="false">IF(H43=0,0,'매출(Revenue)'!H21/H43)</f>
        <v>0</v>
      </c>
      <c r="I44" s="8" t="n">
        <f aca="false">IF(I43=0,0,'매출(Revenue)'!I21/I43)</f>
        <v>0</v>
      </c>
      <c r="J44" s="8" t="n">
        <f aca="false">IF(J43=0,0,'매출(Revenue)'!J21/J43)</f>
        <v>0</v>
      </c>
      <c r="K44" s="8" t="n">
        <f aca="false">IF(K43=0,0,'매출(Revenue)'!K21/K43)</f>
        <v>0</v>
      </c>
      <c r="L44" s="8" t="n">
        <f aca="false">IF(L43=0,0,'매출(Revenue)'!L21/L43)</f>
        <v>22000</v>
      </c>
      <c r="M44" s="8" t="n">
        <f aca="false">IF(M43=0,0,'매출(Revenue)'!M21/M43)</f>
        <v>0</v>
      </c>
      <c r="N44" s="8" t="n">
        <f aca="false">IF(N43=0,0,'매출(Revenue)'!N21/N43)</f>
        <v>0</v>
      </c>
      <c r="O44" s="8" t="n">
        <f aca="false">IF(O43=0,0,'매출(Revenue)'!O21/O43)</f>
        <v>0</v>
      </c>
      <c r="P44" s="8" t="n">
        <f aca="false">IF(P43=0,0,'매출(Revenue)'!P21/P43)</f>
        <v>0</v>
      </c>
      <c r="Q44" s="8" t="n">
        <f aca="false">IF(Q43=0,0,'매출(Revenue)'!Q21/Q43)</f>
        <v>25000</v>
      </c>
      <c r="R44" s="8" t="n">
        <f aca="false">IF(R43=0,0,'매출(Revenue)'!R21/R43)</f>
        <v>0</v>
      </c>
      <c r="S44" s="8" t="n">
        <f aca="false">IF(S43=0,0,'매출(Revenue)'!S21/S43)</f>
        <v>0</v>
      </c>
      <c r="T44" s="8" t="n">
        <f aca="false">IF(T43=0,0,'매출(Revenue)'!T21/T43)</f>
        <v>0</v>
      </c>
      <c r="U44" s="8" t="n">
        <f aca="false">IF(U43=0,0,'매출(Revenue)'!U21/U43)</f>
        <v>0</v>
      </c>
      <c r="V44" s="8" t="n">
        <f aca="false">IF(V43=0,0,'매출(Revenue)'!V21/V43)</f>
        <v>0</v>
      </c>
      <c r="W44" s="8" t="n">
        <f aca="false">IF(W43=0,0,'매출(Revenue)'!W21/W43)</f>
        <v>27000</v>
      </c>
      <c r="X44" s="8" t="n">
        <f aca="false">IF(X43=0,0,'매출(Revenue)'!X21/X43)</f>
        <v>0</v>
      </c>
      <c r="Y44" s="8" t="n">
        <f aca="false">IF(Y43=0,0,'매출(Revenue)'!Y21/Y43)</f>
        <v>0</v>
      </c>
      <c r="Z44" s="8" t="n">
        <f aca="false">IF(Z43=0,0,'매출(Revenue)'!Z21/Z43)</f>
        <v>0</v>
      </c>
      <c r="AA44" s="8" t="n">
        <f aca="false">IF(AA43=0,0,'매출(Revenue)'!AA21/AA43)</f>
        <v>0</v>
      </c>
      <c r="AB44" s="8" t="n">
        <f aca="false">IF(AB43=0,0,'매출(Revenue)'!AB21/AB43)</f>
        <v>0</v>
      </c>
      <c r="AC44" s="8" t="n">
        <f aca="false">IF(AC43=0,0,'매출(Revenue)'!AC21/AC43)</f>
        <v>30000</v>
      </c>
      <c r="AD44" s="8" t="n">
        <f aca="false">IF(AD43=0,0,'매출(Revenue)'!AD21/AD43)</f>
        <v>0</v>
      </c>
      <c r="AE44" s="8" t="n">
        <f aca="false">IF(AE43=0,0,'매출(Revenue)'!AE21/AE43)</f>
        <v>0</v>
      </c>
      <c r="AF44" s="8" t="n">
        <f aca="false">IF(AF43=0,0,'매출(Revenue)'!AF21/AF43)</f>
        <v>0</v>
      </c>
      <c r="AG44" s="8" t="n">
        <f aca="false">IF(AG43=0,0,'매출(Revenue)'!AG21/AG43)</f>
        <v>0</v>
      </c>
      <c r="AH44" s="8" t="n">
        <f aca="false">IF(AH43=0,0,'매출(Revenue)'!AH21/AH43)</f>
        <v>0</v>
      </c>
      <c r="AI44" s="8" t="n">
        <f aca="false">IF(AI43=0,0,'매출(Revenue)'!AI21/AI43)</f>
        <v>30000</v>
      </c>
      <c r="AJ44" s="8" t="n">
        <f aca="false">IF(AJ43=0,0,'매출(Revenue)'!AJ21/AJ43)</f>
        <v>0</v>
      </c>
      <c r="AK44" s="8" t="n">
        <f aca="false">IF(AK43=0,0,'매출(Revenue)'!AK21/AK43)</f>
        <v>0</v>
      </c>
      <c r="AL44" s="8" t="n">
        <f aca="false">IF(AL43=0,0,'매출(Revenue)'!AL21/AL43)</f>
        <v>0</v>
      </c>
      <c r="AM44" s="8" t="n">
        <f aca="false">IF(AM43=0,0,'매출(Revenue)'!AM21/AM43)</f>
        <v>0</v>
      </c>
      <c r="AN44" s="8" t="n">
        <f aca="false">IF(AN43=0,0,'매출(Revenue)'!AN21/AN43)</f>
        <v>0</v>
      </c>
      <c r="AO44" s="8" t="n">
        <f aca="false">IF(AO43=0,0,'매출(Revenue)'!AO21/AO43)</f>
        <v>32000</v>
      </c>
      <c r="AP44" s="8" t="n">
        <f aca="false">IF(AP43=0,0,'매출(Revenue)'!AP21/AP43)</f>
        <v>22000</v>
      </c>
      <c r="AQ44" s="8" t="n">
        <f aca="false">IF(AQ43=0,0,'매출(Revenue)'!AQ21/AQ43)</f>
        <v>26166.6666666667</v>
      </c>
      <c r="AR44" s="8" t="n">
        <f aca="false">IF(AR43=0,0,'매출(Revenue)'!AR21/AR43)</f>
        <v>30000</v>
      </c>
      <c r="AS44" s="8" t="n">
        <f aca="false">IF(AS43=0,0,'매출(Revenue)'!AS21/AS43)</f>
        <v>32000</v>
      </c>
      <c r="AT44" s="2"/>
    </row>
    <row r="46" customFormat="false" ht="15" hidden="false" customHeight="false" outlineLevel="0" collapsed="false">
      <c r="A46" s="30" t="s">
        <v>449</v>
      </c>
      <c r="B46" s="2" t="s">
        <v>450</v>
      </c>
      <c r="C46" s="2" t="s">
        <v>384</v>
      </c>
      <c r="D46" s="2"/>
      <c r="F46" s="8" t="n">
        <f aca="false">'현금흐름표(CF)'!F33</f>
        <v>5406951</v>
      </c>
      <c r="G46" s="8" t="n">
        <f aca="false">'현금흐름표(CF)'!G33</f>
        <v>3412471</v>
      </c>
      <c r="H46" s="8" t="n">
        <f aca="false">'현금흐름표(CF)'!H33</f>
        <v>1908191</v>
      </c>
      <c r="I46" s="8" t="n">
        <f aca="false">'현금흐름표(CF)'!I33</f>
        <v>1757083</v>
      </c>
      <c r="J46" s="8" t="n">
        <f aca="false">'현금흐름표(CF)'!J33</f>
        <v>638612</v>
      </c>
      <c r="K46" s="8" t="n">
        <f aca="false">'현금흐름표(CF)'!K33</f>
        <v>487198</v>
      </c>
      <c r="L46" s="8" t="n">
        <f aca="false">'현금흐름표(CF)'!L33</f>
        <v>197852731</v>
      </c>
      <c r="M46" s="8" t="n">
        <f aca="false">'현금흐름표(CF)'!M33</f>
        <v>198790542</v>
      </c>
      <c r="N46" s="8" t="n">
        <f aca="false">'현금흐름표(CF)'!N33</f>
        <v>174248013</v>
      </c>
      <c r="O46" s="8" t="n">
        <f aca="false">'현금흐름표(CF)'!O33</f>
        <v>158679708</v>
      </c>
      <c r="P46" s="8" t="n">
        <f aca="false">'현금흐름표(CF)'!P33</f>
        <v>151956060</v>
      </c>
      <c r="Q46" s="8" t="n">
        <f aca="false">'현금흐름표(CF)'!Q33</f>
        <v>625292766</v>
      </c>
      <c r="R46" s="8" t="n">
        <f aca="false">'현금흐름표(CF)'!R33</f>
        <v>629999552</v>
      </c>
      <c r="S46" s="8" t="n">
        <f aca="false">'현금흐름표(CF)'!S33</f>
        <v>618372280</v>
      </c>
      <c r="T46" s="8" t="n">
        <f aca="false">'현금흐름표(CF)'!T33</f>
        <v>602029725</v>
      </c>
      <c r="U46" s="8" t="n">
        <f aca="false">'현금흐름표(CF)'!U33</f>
        <v>593673877</v>
      </c>
      <c r="V46" s="8" t="n">
        <f aca="false">'현금흐름표(CF)'!V33</f>
        <v>590851251</v>
      </c>
      <c r="W46" s="8" t="n">
        <f aca="false">'현금흐름표(CF)'!W33</f>
        <v>582277515</v>
      </c>
      <c r="X46" s="8" t="n">
        <f aca="false">'현금흐름표(CF)'!X33</f>
        <v>603624424</v>
      </c>
      <c r="Y46" s="8" t="n">
        <f aca="false">'현금흐름표(CF)'!Y33</f>
        <v>559993834</v>
      </c>
      <c r="Z46" s="8" t="n">
        <f aca="false">'현금흐름표(CF)'!Z33</f>
        <v>557462012</v>
      </c>
      <c r="AA46" s="8" t="n">
        <f aca="false">'현금흐름표(CF)'!AA33</f>
        <v>559237859</v>
      </c>
      <c r="AB46" s="8" t="n">
        <f aca="false">'현금흐름표(CF)'!AB33</f>
        <v>563764121</v>
      </c>
      <c r="AC46" s="8" t="n">
        <f aca="false">'현금흐름표(CF)'!AC33</f>
        <v>556972684</v>
      </c>
      <c r="AD46" s="8" t="n">
        <f aca="false">'현금흐름표(CF)'!AD33</f>
        <v>612312044</v>
      </c>
      <c r="AE46" s="8" t="n">
        <f aca="false">'현금흐름표(CF)'!AE33</f>
        <v>605727825</v>
      </c>
      <c r="AF46" s="8" t="n">
        <f aca="false">'현금흐름표(CF)'!AF33</f>
        <v>597886715</v>
      </c>
      <c r="AG46" s="8" t="n">
        <f aca="false">'현금흐름표(CF)'!AG33</f>
        <v>607795190</v>
      </c>
      <c r="AH46" s="8" t="n">
        <f aca="false">'현금흐름표(CF)'!AH33</f>
        <v>618495266</v>
      </c>
      <c r="AI46" s="8" t="n">
        <f aca="false">'현금흐름표(CF)'!AI33</f>
        <v>612477374</v>
      </c>
      <c r="AJ46" s="8" t="n">
        <f aca="false">'현금흐름표(CF)'!AJ33</f>
        <v>643746592</v>
      </c>
      <c r="AK46" s="8" t="n">
        <f aca="false">'현금흐름표(CF)'!AK33</f>
        <v>630739776</v>
      </c>
      <c r="AL46" s="8" t="n">
        <f aca="false">'현금흐름표(CF)'!AL33</f>
        <v>618463560</v>
      </c>
      <c r="AM46" s="8" t="n">
        <f aca="false">'현금흐름표(CF)'!AM33</f>
        <v>621088909</v>
      </c>
      <c r="AN46" s="8" t="n">
        <f aca="false">'현금흐름표(CF)'!AN33</f>
        <v>637721211</v>
      </c>
      <c r="AO46" s="8" t="n">
        <f aca="false">'현금흐름표(CF)'!AO33</f>
        <v>632197109</v>
      </c>
      <c r="AP46" s="8" t="n">
        <f aca="false">M46</f>
        <v>198790542</v>
      </c>
      <c r="AQ46" s="8" t="n">
        <f aca="false">Y46</f>
        <v>559993834</v>
      </c>
      <c r="AR46" s="8" t="n">
        <f aca="false">AK46</f>
        <v>630739776</v>
      </c>
      <c r="AS46" s="8" t="n">
        <f aca="false">AO46</f>
        <v>632197109</v>
      </c>
      <c r="AT46" s="2"/>
    </row>
    <row r="47" customFormat="false" ht="15" hidden="false" customHeight="false" outlineLevel="0" collapsed="false">
      <c r="A47" s="30" t="s">
        <v>449</v>
      </c>
      <c r="B47" s="2" t="s">
        <v>451</v>
      </c>
      <c r="C47" s="2" t="s">
        <v>384</v>
      </c>
      <c r="D47" s="2"/>
      <c r="F47" s="8" t="n">
        <f aca="false">-('현금흐름표(CF)'!F5+'현금흐름표(CF)'!F22)</f>
        <v>4593049</v>
      </c>
      <c r="G47" s="8" t="n">
        <f aca="false">-('현금흐름표(CF)'!G5+'현금흐름표(CF)'!G22)</f>
        <v>1994480</v>
      </c>
      <c r="H47" s="8" t="n">
        <f aca="false">-('현금흐름표(CF)'!H5+'현금흐름표(CF)'!H22)</f>
        <v>1504280</v>
      </c>
      <c r="I47" s="8" t="n">
        <f aca="false">-('현금흐름표(CF)'!I5+'현금흐름표(CF)'!I22)</f>
        <v>151108</v>
      </c>
      <c r="J47" s="8" t="n">
        <f aca="false">-('현금흐름표(CF)'!J5+'현금흐름표(CF)'!J22)</f>
        <v>1118471</v>
      </c>
      <c r="K47" s="8" t="n">
        <f aca="false">-('현금흐름표(CF)'!K5+'현금흐름표(CF)'!K22)</f>
        <v>151414</v>
      </c>
      <c r="L47" s="8" t="n">
        <f aca="false">-('현금흐름표(CF)'!L5+'현금흐름표(CF)'!L22)</f>
        <v>2634467</v>
      </c>
      <c r="M47" s="8" t="n">
        <f aca="false">-('현금흐름표(CF)'!M5+'현금흐름표(CF)'!M22)</f>
        <v>-937811</v>
      </c>
      <c r="N47" s="8" t="n">
        <f aca="false">-('현금흐름표(CF)'!N5+'현금흐름표(CF)'!N22)</f>
        <v>24542529</v>
      </c>
      <c r="O47" s="8" t="n">
        <f aca="false">-('현금흐름표(CF)'!O5+'현금흐름표(CF)'!O22)</f>
        <v>15568305</v>
      </c>
      <c r="P47" s="8" t="n">
        <f aca="false">-('현금흐름표(CF)'!P5+'현금흐름표(CF)'!P22)</f>
        <v>6723648</v>
      </c>
      <c r="Q47" s="8" t="n">
        <f aca="false">-('현금흐름표(CF)'!Q5+'현금흐름표(CF)'!Q22)</f>
        <v>26663294</v>
      </c>
      <c r="R47" s="8" t="n">
        <f aca="false">-('현금흐름표(CF)'!R5+'현금흐름표(CF)'!R22)</f>
        <v>-4706786</v>
      </c>
      <c r="S47" s="8" t="n">
        <f aca="false">-('현금흐름표(CF)'!S5+'현금흐름표(CF)'!S22)</f>
        <v>11627272</v>
      </c>
      <c r="T47" s="8" t="n">
        <f aca="false">-('현금흐름표(CF)'!T5+'현금흐름표(CF)'!T22)</f>
        <v>16342555</v>
      </c>
      <c r="U47" s="8" t="n">
        <f aca="false">-('현금흐름표(CF)'!U5+'현금흐름표(CF)'!U22)</f>
        <v>8355848</v>
      </c>
      <c r="V47" s="8" t="n">
        <f aca="false">-('현금흐름표(CF)'!V5+'현금흐름표(CF)'!V22)</f>
        <v>2822626</v>
      </c>
      <c r="W47" s="8" t="n">
        <f aca="false">-('현금흐름표(CF)'!W5+'현금흐름표(CF)'!W22)</f>
        <v>8573736</v>
      </c>
      <c r="X47" s="8" t="n">
        <f aca="false">-('현금흐름표(CF)'!X5+'현금흐름표(CF)'!X22)</f>
        <v>-21346909</v>
      </c>
      <c r="Y47" s="8" t="n">
        <f aca="false">-('현금흐름표(CF)'!Y5+'현금흐름표(CF)'!Y22)</f>
        <v>43630590</v>
      </c>
      <c r="Z47" s="8" t="n">
        <f aca="false">-('현금흐름표(CF)'!Z5+'현금흐름표(CF)'!Z22)</f>
        <v>2531822</v>
      </c>
      <c r="AA47" s="8" t="n">
        <f aca="false">-('현금흐름표(CF)'!AA5+'현금흐름표(CF)'!AA22)</f>
        <v>-1775847</v>
      </c>
      <c r="AB47" s="8" t="n">
        <f aca="false">-('현금흐름표(CF)'!AB5+'현금흐름표(CF)'!AB22)</f>
        <v>-4526262</v>
      </c>
      <c r="AC47" s="8" t="n">
        <f aca="false">-('현금흐름표(CF)'!AC5+'현금흐름표(CF)'!AC22)</f>
        <v>6791437</v>
      </c>
      <c r="AD47" s="8" t="n">
        <f aca="false">-('현금흐름표(CF)'!AD5+'현금흐름표(CF)'!AD22)</f>
        <v>-55339360</v>
      </c>
      <c r="AE47" s="8" t="n">
        <f aca="false">-('현금흐름표(CF)'!AE5+'현금흐름표(CF)'!AE22)</f>
        <v>6584219</v>
      </c>
      <c r="AF47" s="8" t="n">
        <f aca="false">-('현금흐름표(CF)'!AF5+'현금흐름표(CF)'!AF22)</f>
        <v>7841110</v>
      </c>
      <c r="AG47" s="8" t="n">
        <f aca="false">-('현금흐름표(CF)'!AG5+'현금흐름표(CF)'!AG22)</f>
        <v>-9908475</v>
      </c>
      <c r="AH47" s="8" t="n">
        <f aca="false">-('현금흐름표(CF)'!AH5+'현금흐름표(CF)'!AH22)</f>
        <v>-10700076</v>
      </c>
      <c r="AI47" s="8" t="n">
        <f aca="false">-('현금흐름표(CF)'!AI5+'현금흐름표(CF)'!AI22)</f>
        <v>6017892</v>
      </c>
      <c r="AJ47" s="8" t="n">
        <f aca="false">-('현금흐름표(CF)'!AJ5+'현금흐름표(CF)'!AJ22)</f>
        <v>-36824774</v>
      </c>
      <c r="AK47" s="8" t="n">
        <f aca="false">-('현금흐름표(CF)'!AK5+'현금흐름표(CF)'!AK22)</f>
        <v>7451260</v>
      </c>
      <c r="AL47" s="8" t="n">
        <f aca="false">-('현금흐름표(CF)'!AL5+'현금흐름표(CF)'!AL22)</f>
        <v>6720660</v>
      </c>
      <c r="AM47" s="8" t="n">
        <f aca="false">-('현금흐름표(CF)'!AM5+'현금흐름표(CF)'!AM22)</f>
        <v>-8180905</v>
      </c>
      <c r="AN47" s="8" t="n">
        <f aca="false">-('현금흐름표(CF)'!AN5+'현금흐름표(CF)'!AN22)</f>
        <v>-22187858</v>
      </c>
      <c r="AO47" s="8" t="n">
        <f aca="false">-('현금흐름표(CF)'!AO5+'현금흐름표(CF)'!AO22)</f>
        <v>-31454</v>
      </c>
      <c r="AP47" s="8" t="n">
        <f aca="false">SUM(F47:M47)</f>
        <v>11209458</v>
      </c>
      <c r="AQ47" s="8" t="n">
        <f aca="false">SUM(N47:Y47)</f>
        <v>138796708</v>
      </c>
      <c r="AR47" s="8" t="n">
        <f aca="false">SUM(Z47:AK47)</f>
        <v>-81857054</v>
      </c>
      <c r="AS47" s="8" t="n">
        <f aca="false">SUM(AL47:AO47)</f>
        <v>-23679557</v>
      </c>
      <c r="AT47" s="2" t="s">
        <v>452</v>
      </c>
    </row>
    <row r="48" customFormat="false" ht="15" hidden="false" customHeight="false" outlineLevel="0" collapsed="false">
      <c r="A48" s="30" t="s">
        <v>449</v>
      </c>
      <c r="B48" s="2" t="s">
        <v>453</v>
      </c>
      <c r="C48" s="2" t="s">
        <v>384</v>
      </c>
      <c r="D48" s="2"/>
      <c r="F48" s="9" t="n">
        <f aca="false">F47</f>
        <v>4593049</v>
      </c>
      <c r="G48" s="9" t="n">
        <f aca="false">G47</f>
        <v>1994480</v>
      </c>
      <c r="H48" s="9" t="n">
        <f aca="false">AVERAGE(F47:H47)</f>
        <v>2697269.66666667</v>
      </c>
      <c r="I48" s="9" t="n">
        <f aca="false">AVERAGE(G47:I47)</f>
        <v>1216622.66666667</v>
      </c>
      <c r="J48" s="9" t="n">
        <f aca="false">AVERAGE(H47:J47)</f>
        <v>924619.666666667</v>
      </c>
      <c r="K48" s="9" t="n">
        <f aca="false">AVERAGE(I47:K47)</f>
        <v>473664.333333333</v>
      </c>
      <c r="L48" s="9" t="n">
        <f aca="false">AVERAGE(J47:L47)</f>
        <v>1301450.66666667</v>
      </c>
      <c r="M48" s="9" t="n">
        <f aca="false">AVERAGE(K47:M47)</f>
        <v>616023.333333333</v>
      </c>
      <c r="N48" s="9" t="n">
        <f aca="false">AVERAGE(L47:N47)</f>
        <v>8746395</v>
      </c>
      <c r="O48" s="9" t="n">
        <f aca="false">AVERAGE(M47:O47)</f>
        <v>13057674.3333333</v>
      </c>
      <c r="P48" s="9" t="n">
        <f aca="false">AVERAGE(N47:P47)</f>
        <v>15611494</v>
      </c>
      <c r="Q48" s="9" t="n">
        <f aca="false">AVERAGE(O47:Q47)</f>
        <v>16318415.6666667</v>
      </c>
      <c r="R48" s="9" t="n">
        <f aca="false">AVERAGE(P47:R47)</f>
        <v>9560052</v>
      </c>
      <c r="S48" s="9" t="n">
        <f aca="false">AVERAGE(Q47:S47)</f>
        <v>11194593.3333333</v>
      </c>
      <c r="T48" s="9" t="n">
        <f aca="false">AVERAGE(R47:T47)</f>
        <v>7754347</v>
      </c>
      <c r="U48" s="9" t="n">
        <f aca="false">AVERAGE(S47:U47)</f>
        <v>12108558.3333333</v>
      </c>
      <c r="V48" s="9" t="n">
        <f aca="false">AVERAGE(T47:V47)</f>
        <v>9173676.33333333</v>
      </c>
      <c r="W48" s="9" t="n">
        <f aca="false">AVERAGE(U47:W47)</f>
        <v>6584070</v>
      </c>
      <c r="X48" s="9" t="n">
        <f aca="false">AVERAGE(V47:X47)</f>
        <v>-3316849</v>
      </c>
      <c r="Y48" s="9" t="n">
        <f aca="false">AVERAGE(W47:Y47)</f>
        <v>10285805.6666667</v>
      </c>
      <c r="Z48" s="9" t="n">
        <f aca="false">AVERAGE(X47:Z47)</f>
        <v>8271834.33333333</v>
      </c>
      <c r="AA48" s="9" t="n">
        <f aca="false">AVERAGE(Y47:AA47)</f>
        <v>14795521.6666667</v>
      </c>
      <c r="AB48" s="9" t="n">
        <f aca="false">AVERAGE(Z47:AB47)</f>
        <v>-1256762.33333333</v>
      </c>
      <c r="AC48" s="9" t="n">
        <f aca="false">AVERAGE(AA47:AC47)</f>
        <v>163109.333333333</v>
      </c>
      <c r="AD48" s="9" t="n">
        <f aca="false">AVERAGE(AB47:AD47)</f>
        <v>-17691395</v>
      </c>
      <c r="AE48" s="9" t="n">
        <f aca="false">AVERAGE(AC47:AE47)</f>
        <v>-13987901.3333333</v>
      </c>
      <c r="AF48" s="9" t="n">
        <f aca="false">AVERAGE(AD47:AF47)</f>
        <v>-13638010.3333333</v>
      </c>
      <c r="AG48" s="9" t="n">
        <f aca="false">AVERAGE(AE47:AG47)</f>
        <v>1505618</v>
      </c>
      <c r="AH48" s="9" t="n">
        <f aca="false">AVERAGE(AF47:AH47)</f>
        <v>-4255813.66666667</v>
      </c>
      <c r="AI48" s="9" t="n">
        <f aca="false">AVERAGE(AG47:AI47)</f>
        <v>-4863553</v>
      </c>
      <c r="AJ48" s="9" t="n">
        <f aca="false">AVERAGE(AH47:AJ47)</f>
        <v>-13835652.6666667</v>
      </c>
      <c r="AK48" s="9" t="n">
        <f aca="false">AVERAGE(AI47:AK47)</f>
        <v>-7785207.33333333</v>
      </c>
      <c r="AL48" s="9" t="n">
        <f aca="false">AVERAGE(AJ47:AL47)</f>
        <v>-7550951.33333333</v>
      </c>
      <c r="AM48" s="9" t="n">
        <f aca="false">AVERAGE(AK47:AM47)</f>
        <v>1997005</v>
      </c>
      <c r="AN48" s="9" t="n">
        <f aca="false">AVERAGE(AL47:AN47)</f>
        <v>-7882701</v>
      </c>
      <c r="AO48" s="9" t="n">
        <f aca="false">AVERAGE(AM47:AO47)</f>
        <v>-10133405.6666667</v>
      </c>
      <c r="AP48" s="9" t="n">
        <f aca="false">M48</f>
        <v>616023.333333333</v>
      </c>
      <c r="AQ48" s="9" t="n">
        <f aca="false">Y48</f>
        <v>10285805.6666667</v>
      </c>
      <c r="AR48" s="9" t="n">
        <f aca="false">AK48</f>
        <v>-7785207.33333333</v>
      </c>
      <c r="AS48" s="9" t="n">
        <f aca="false">AO48</f>
        <v>-10133405.6666667</v>
      </c>
      <c r="AT48" s="2"/>
    </row>
    <row r="49" customFormat="false" ht="15" hidden="false" customHeight="false" outlineLevel="0" collapsed="false">
      <c r="A49" s="30" t="s">
        <v>449</v>
      </c>
      <c r="B49" s="2" t="s">
        <v>454</v>
      </c>
      <c r="C49" s="2" t="s">
        <v>455</v>
      </c>
      <c r="D49" s="2"/>
      <c r="F49" s="38" t="n">
        <f aca="false">IF(F48&lt;=0,"현금흐름 흑자",F46/F48)</f>
        <v>1.17720298651288</v>
      </c>
      <c r="G49" s="38" t="n">
        <f aca="false">IF(G48&lt;=0,"현금흐름 흑자",G46/G48)</f>
        <v>1.71095774337171</v>
      </c>
      <c r="H49" s="38" t="n">
        <f aca="false">IF(H48&lt;=0,"현금흐름 흑자",H46/H48)</f>
        <v>0.70745280814216</v>
      </c>
      <c r="I49" s="38" t="n">
        <f aca="false">IF(I48&lt;=0,"현금흐름 흑자",I46/I48)</f>
        <v>1.44423003790822</v>
      </c>
      <c r="J49" s="38" t="n">
        <f aca="false">IF(J48&lt;=0,"현금흐름 흑자",J46/J48)</f>
        <v>0.690675337138622</v>
      </c>
      <c r="K49" s="38" t="n">
        <f aca="false">IF(K48&lt;=0,"현금흐름 흑자",K46/K48)</f>
        <v>1.02857227305131</v>
      </c>
      <c r="L49" s="38" t="n">
        <f aca="false">IF(L48&lt;=0,"현금흐름 흑자",L46/L48)</f>
        <v>152.024764416733</v>
      </c>
      <c r="M49" s="38" t="n">
        <f aca="false">IF(M48&lt;=0,"현금흐름 흑자",M46/M48)</f>
        <v>322.69969535786</v>
      </c>
      <c r="N49" s="38" t="n">
        <f aca="false">IF(N48&lt;=0,"현금흐름 흑자",N46/N48)</f>
        <v>19.9222666024116</v>
      </c>
      <c r="O49" s="38" t="n">
        <f aca="false">IF(O48&lt;=0,"현금흐름 흑자",O46/O48)</f>
        <v>12.1522182242611</v>
      </c>
      <c r="P49" s="38" t="n">
        <f aca="false">IF(P48&lt;=0,"현금흐름 흑자",P46/P48)</f>
        <v>9.73360140932059</v>
      </c>
      <c r="Q49" s="38" t="n">
        <f aca="false">IF(Q48&lt;=0,"현금흐름 흑자",Q46/Q48)</f>
        <v>38.3182276253248</v>
      </c>
      <c r="R49" s="38" t="n">
        <f aca="false">IF(R48&lt;=0,"현금흐름 흑자",R46/R48)</f>
        <v>65.8991762806311</v>
      </c>
      <c r="S49" s="38" t="n">
        <f aca="false">IF(S48&lt;=0,"현금흐름 흑자",S46/S48)</f>
        <v>55.238476431182</v>
      </c>
      <c r="T49" s="38" t="n">
        <f aca="false">IF(T48&lt;=0,"현금흐름 흑자",T46/T48)</f>
        <v>77.6377075980737</v>
      </c>
      <c r="U49" s="38" t="n">
        <f aca="false">IF(U48&lt;=0,"현금흐름 흑자",U46/U48)</f>
        <v>49.0292783547725</v>
      </c>
      <c r="V49" s="38" t="n">
        <f aca="false">IF(V48&lt;=0,"현금흐름 흑자",V46/V48)</f>
        <v>64.407248471705</v>
      </c>
      <c r="W49" s="38" t="n">
        <f aca="false">IF(W48&lt;=0,"현금흐름 흑자",W46/W48)</f>
        <v>88.4373214440308</v>
      </c>
      <c r="X49" s="38" t="str">
        <f aca="false">IF(X48&lt;=0,"현금흐름 흑자",X46/X48)</f>
        <v>현금흐름 흑자</v>
      </c>
      <c r="Y49" s="38" t="n">
        <f aca="false">IF(Y48&lt;=0,"현금흐름 흑자",Y46/Y48)</f>
        <v>54.4433612832856</v>
      </c>
      <c r="Z49" s="38" t="n">
        <f aca="false">IF(Z48&lt;=0,"현금흐름 흑자",Z46/Z48)</f>
        <v>67.3927921589984</v>
      </c>
      <c r="AA49" s="38" t="n">
        <f aca="false">IF(AA48&lt;=0,"현금흐름 흑자",AA46/AA48)</f>
        <v>37.7977790576946</v>
      </c>
      <c r="AB49" s="38" t="str">
        <f aca="false">IF(AB48&lt;=0,"현금흐름 흑자",AB46/AB48)</f>
        <v>현금흐름 흑자</v>
      </c>
      <c r="AC49" s="38" t="n">
        <f aca="false">IF(AC48&lt;=0,"현금흐름 흑자",AC46/AC48)</f>
        <v>3414.71988523036</v>
      </c>
      <c r="AD49" s="38" t="str">
        <f aca="false">IF(AD48&lt;=0,"현금흐름 흑자",AD46/AD48)</f>
        <v>현금흐름 흑자</v>
      </c>
      <c r="AE49" s="38" t="str">
        <f aca="false">IF(AE48&lt;=0,"현금흐름 흑자",AE46/AE48)</f>
        <v>현금흐름 흑자</v>
      </c>
      <c r="AF49" s="38" t="str">
        <f aca="false">IF(AF48&lt;=0,"현금흐름 흑자",AF46/AF48)</f>
        <v>현금흐름 흑자</v>
      </c>
      <c r="AG49" s="38" t="n">
        <f aca="false">IF(AG48&lt;=0,"현금흐름 흑자",AG46/AG48)</f>
        <v>403.684858974853</v>
      </c>
      <c r="AH49" s="38" t="str">
        <f aca="false">IF(AH48&lt;=0,"현금흐름 흑자",AH46/AH48)</f>
        <v>현금흐름 흑자</v>
      </c>
      <c r="AI49" s="38" t="str">
        <f aca="false">IF(AI48&lt;=0,"현금흐름 흑자",AI46/AI48)</f>
        <v>현금흐름 흑자</v>
      </c>
      <c r="AJ49" s="38" t="str">
        <f aca="false">IF(AJ48&lt;=0,"현금흐름 흑자",AJ46/AJ48)</f>
        <v>현금흐름 흑자</v>
      </c>
      <c r="AK49" s="38" t="str">
        <f aca="false">IF(AK48&lt;=0,"현금흐름 흑자",AK46/AK48)</f>
        <v>현금흐름 흑자</v>
      </c>
      <c r="AL49" s="38" t="str">
        <f aca="false">IF(AL48&lt;=0,"현금흐름 흑자",AL46/AL48)</f>
        <v>현금흐름 흑자</v>
      </c>
      <c r="AM49" s="38" t="n">
        <f aca="false">IF(AM48&lt;=0,"현금흐름 흑자",AM46/AM48)</f>
        <v>311.010192262914</v>
      </c>
      <c r="AN49" s="38" t="str">
        <f aca="false">IF(AN48&lt;=0,"현금흐름 흑자",AN46/AN48)</f>
        <v>현금흐름 흑자</v>
      </c>
      <c r="AO49" s="38" t="str">
        <f aca="false">IF(AO48&lt;=0,"현금흐름 흑자",AO46/AO48)</f>
        <v>현금흐름 흑자</v>
      </c>
      <c r="AP49" s="38" t="n">
        <f aca="false">M49</f>
        <v>322.69969535786</v>
      </c>
      <c r="AQ49" s="38" t="n">
        <f aca="false">Y49</f>
        <v>54.4433612832856</v>
      </c>
      <c r="AR49" s="38" t="str">
        <f aca="false">AK49</f>
        <v>현금흐름 흑자</v>
      </c>
      <c r="AS49" s="38" t="str">
        <f aca="false">AO49</f>
        <v>현금흐름 흑자</v>
      </c>
      <c r="AT49" s="2"/>
    </row>
    <row r="50" customFormat="false" ht="15" hidden="false" customHeight="false" outlineLevel="0" collapsed="false">
      <c r="A50" s="30" t="s">
        <v>449</v>
      </c>
      <c r="B50" s="2" t="s">
        <v>456</v>
      </c>
      <c r="C50" s="17" t="s">
        <v>401</v>
      </c>
      <c r="D50" s="2"/>
      <c r="F50" s="37" t="n">
        <f aca="false">IF(('손익계산서(P&amp;L)'!F5+'손익계산서(P&amp;L)'!F29)=0,0,'손익계산서(P&amp;L)'!F29/('손익계산서(P&amp;L)'!F5+'손익계산서(P&amp;L)'!F29))</f>
        <v>0</v>
      </c>
      <c r="G50" s="37" t="n">
        <f aca="false">IF(('손익계산서(P&amp;L)'!G5+'손익계산서(P&amp;L)'!G29)=0,0,'손익계산서(P&amp;L)'!G29/('손익계산서(P&amp;L)'!G5+'손익계산서(P&amp;L)'!G29))</f>
        <v>0.664155583800932</v>
      </c>
      <c r="H50" s="37" t="n">
        <f aca="false">IF(('손익계산서(P&amp;L)'!H5+'손익계산서(P&amp;L)'!H29)=0,0,'손익계산서(P&amp;L)'!H29/('손익계산서(P&amp;L)'!H5+'손익계산서(P&amp;L)'!H29))</f>
        <v>0.616384229555677</v>
      </c>
      <c r="I50" s="37" t="n">
        <f aca="false">IF(('손익계산서(P&amp;L)'!I5+'손익계산서(P&amp;L)'!I29)=0,0,'손익계산서(P&amp;L)'!I29/('손익계산서(P&amp;L)'!I5+'손익계산서(P&amp;L)'!I29))</f>
        <v>0.533276358476946</v>
      </c>
      <c r="J50" s="37" t="n">
        <f aca="false">IF(('손익계산서(P&amp;L)'!J5+'손익계산서(P&amp;L)'!J29)=0,0,'손익계산서(P&amp;L)'!J29/('손익계산서(P&amp;L)'!J5+'손익계산서(P&amp;L)'!J29))</f>
        <v>0.381100055738055</v>
      </c>
      <c r="K50" s="37" t="n">
        <f aca="false">IF(('손익계산서(P&amp;L)'!K5+'손익계산서(P&amp;L)'!K29)=0,0,'손익계산서(P&amp;L)'!K29/('손익계산서(P&amp;L)'!K5+'손익계산서(P&amp;L)'!K29))</f>
        <v>0.263923850509812</v>
      </c>
      <c r="L50" s="37" t="n">
        <f aca="false">IF(('손익계산서(P&amp;L)'!L5+'손익계산서(P&amp;L)'!L29)=0,0,'손익계산서(P&amp;L)'!L29/('손익계산서(P&amp;L)'!L5+'손익계산서(P&amp;L)'!L29))</f>
        <v>0.182674475284474</v>
      </c>
      <c r="M50" s="37" t="n">
        <f aca="false">IF(('손익계산서(P&amp;L)'!M5+'손익계산서(P&amp;L)'!M29)=0,0,'손익계산서(P&amp;L)'!M29/('손익계산서(P&amp;L)'!M5+'손익계산서(P&amp;L)'!M29))</f>
        <v>0.24234485474481</v>
      </c>
      <c r="N50" s="37" t="n">
        <f aca="false">IF(('손익계산서(P&amp;L)'!N5+'손익계산서(P&amp;L)'!N29)=0,0,'손익계산서(P&amp;L)'!N29/('손익계산서(P&amp;L)'!N5+'손익계산서(P&amp;L)'!N29))</f>
        <v>0</v>
      </c>
      <c r="O50" s="37" t="n">
        <f aca="false">IF(('손익계산서(P&amp;L)'!O5+'손익계산서(P&amp;L)'!O29)=0,0,'손익계산서(P&amp;L)'!O29/('손익계산서(P&amp;L)'!O5+'손익계산서(P&amp;L)'!O29))</f>
        <v>0</v>
      </c>
      <c r="P50" s="37" t="n">
        <f aca="false">IF(('손익계산서(P&amp;L)'!P5+'손익계산서(P&amp;L)'!P29)=0,0,'손익계산서(P&amp;L)'!P29/('손익계산서(P&amp;L)'!P5+'손익계산서(P&amp;L)'!P29))</f>
        <v>0</v>
      </c>
      <c r="Q50" s="37" t="n">
        <f aca="false">IF(('손익계산서(P&amp;L)'!Q5+'손익계산서(P&amp;L)'!Q29)=0,0,'손익계산서(P&amp;L)'!Q29/('손익계산서(P&amp;L)'!Q5+'손익계산서(P&amp;L)'!Q29))</f>
        <v>0</v>
      </c>
      <c r="R50" s="37" t="n">
        <f aca="false">IF(('손익계산서(P&amp;L)'!R5+'손익계산서(P&amp;L)'!R29)=0,0,'손익계산서(P&amp;L)'!R29/('손익계산서(P&amp;L)'!R5+'손익계산서(P&amp;L)'!R29))</f>
        <v>0.303824508186248</v>
      </c>
      <c r="S50" s="37" t="n">
        <f aca="false">IF(('손익계산서(P&amp;L)'!S5+'손익계산서(P&amp;L)'!S29)=0,0,'손익계산서(P&amp;L)'!S29/('손익계산서(P&amp;L)'!S5+'손익계산서(P&amp;L)'!S29))</f>
        <v>0.292296492533954</v>
      </c>
      <c r="T50" s="37" t="n">
        <f aca="false">IF(('손익계산서(P&amp;L)'!T5+'손익계산서(P&amp;L)'!T29)=0,0,'손익계산서(P&amp;L)'!T29/('손익계산서(P&amp;L)'!T5+'손익계산서(P&amp;L)'!T29))</f>
        <v>0.257804497126916</v>
      </c>
      <c r="U50" s="37" t="n">
        <f aca="false">IF(('손익계산서(P&amp;L)'!U5+'손익계산서(P&amp;L)'!U29)=0,0,'손익계산서(P&amp;L)'!U29/('손익계산서(P&amp;L)'!U5+'손익계산서(P&amp;L)'!U29))</f>
        <v>0.229170677153517</v>
      </c>
      <c r="V50" s="37" t="n">
        <f aca="false">IF(('손익계산서(P&amp;L)'!V5+'손익계산서(P&amp;L)'!V29)=0,0,'손익계산서(P&amp;L)'!V29/('손익계산서(P&amp;L)'!V5+'손익계산서(P&amp;L)'!V29))</f>
        <v>0.185093505140298</v>
      </c>
      <c r="W50" s="37" t="n">
        <f aca="false">IF(('손익계산서(P&amp;L)'!W5+'손익계산서(P&amp;L)'!W29)=0,0,'손익계산서(P&amp;L)'!W29/('손익계산서(P&amp;L)'!W5+'손익계산서(P&amp;L)'!W29))</f>
        <v>0.133199998865897</v>
      </c>
      <c r="X50" s="37" t="n">
        <f aca="false">IF(('손익계산서(P&amp;L)'!X5+'손익계산서(P&amp;L)'!X29)=0,0,'손익계산서(P&amp;L)'!X29/('손익계산서(P&amp;L)'!X5+'손익계산서(P&amp;L)'!X29))</f>
        <v>0.42886380980345</v>
      </c>
      <c r="Y50" s="37" t="n">
        <f aca="false">IF(('손익계산서(P&amp;L)'!Y5+'손익계산서(P&amp;L)'!Y29)=0,0,'손익계산서(P&amp;L)'!Y29/('손익계산서(P&amp;L)'!Y5+'손익계산서(P&amp;L)'!Y29))</f>
        <v>0.349429856051279</v>
      </c>
      <c r="Z50" s="37" t="n">
        <f aca="false">IF(('손익계산서(P&amp;L)'!Z5+'손익계산서(P&amp;L)'!Z29)=0,0,'손익계산서(P&amp;L)'!Z29/('손익계산서(P&amp;L)'!Z5+'손익계산서(P&amp;L)'!Z29))</f>
        <v>0.312090509212531</v>
      </c>
      <c r="AA50" s="37" t="n">
        <f aca="false">IF(('손익계산서(P&amp;L)'!AA5+'손익계산서(P&amp;L)'!AA29)=0,0,'손익계산서(P&amp;L)'!AA29/('손익계산서(P&amp;L)'!AA5+'손익계산서(P&amp;L)'!AA29))</f>
        <v>0.292826401052623</v>
      </c>
      <c r="AB50" s="37" t="n">
        <f aca="false">IF(('손익계산서(P&amp;L)'!AB5+'손익계산서(P&amp;L)'!AB29)=0,0,'손익계산서(P&amp;L)'!AB29/('손익계산서(P&amp;L)'!AB5+'손익계산서(P&amp;L)'!AB29))</f>
        <v>0.243016934954072</v>
      </c>
      <c r="AC50" s="37" t="n">
        <f aca="false">IF(('손익계산서(P&amp;L)'!AC5+'손익계산서(P&amp;L)'!AC29)=0,0,'손익계산서(P&amp;L)'!AC29/('손익계산서(P&amp;L)'!AC5+'손익계산서(P&amp;L)'!AC29))</f>
        <v>0.182655864444507</v>
      </c>
      <c r="AD50" s="37" t="n">
        <f aca="false">IF(('손익계산서(P&amp;L)'!AD5+'손익계산서(P&amp;L)'!AD29)=0,0,'손익계산서(P&amp;L)'!AD29/('손익계산서(P&amp;L)'!AD5+'손익계산서(P&amp;L)'!AD29))</f>
        <v>0.2435362585001</v>
      </c>
      <c r="AE50" s="37" t="n">
        <f aca="false">IF(('손익계산서(P&amp;L)'!AE5+'손익계산서(P&amp;L)'!AE29)=0,0,'손익계산서(P&amp;L)'!AE29/('손익계산서(P&amp;L)'!AE5+'손익계산서(P&amp;L)'!AE29))</f>
        <v>0.244696834615512</v>
      </c>
      <c r="AF50" s="37" t="n">
        <f aca="false">IF(('손익계산서(P&amp;L)'!AF5+'손익계산서(P&amp;L)'!AF29)=0,0,'손익계산서(P&amp;L)'!AF29/('손익계산서(P&amp;L)'!AF5+'손익계산서(P&amp;L)'!AF29))</f>
        <v>0.227549050686693</v>
      </c>
      <c r="AG50" s="37" t="n">
        <f aca="false">IF(('손익계산서(P&amp;L)'!AG5+'손익계산서(P&amp;L)'!AG29)=0,0,'손익계산서(P&amp;L)'!AG29/('손익계산서(P&amp;L)'!AG5+'손익계산서(P&amp;L)'!AG29))</f>
        <v>0.212463866037921</v>
      </c>
      <c r="AH50" s="37" t="n">
        <f aca="false">IF(('손익계산서(P&amp;L)'!AH5+'손익계산서(P&amp;L)'!AH29)=0,0,'손익계산서(P&amp;L)'!AH29/('손익계산서(P&amp;L)'!AH5+'손익계산서(P&amp;L)'!AH29))</f>
        <v>0.184410262952092</v>
      </c>
      <c r="AI50" s="37" t="n">
        <f aca="false">IF(('손익계산서(P&amp;L)'!AI5+'손익계산서(P&amp;L)'!AI29)=0,0,'손익계산서(P&amp;L)'!AI29/('손익계산서(P&amp;L)'!AI5+'손익계산서(P&amp;L)'!AI29))</f>
        <v>0.1433148058938</v>
      </c>
      <c r="AJ50" s="37" t="n">
        <f aca="false">IF(('손익계산서(P&amp;L)'!AJ5+'손익계산서(P&amp;L)'!AJ29)=0,0,'손익계산서(P&amp;L)'!AJ29/('손익계산서(P&amp;L)'!AJ5+'손익계산서(P&amp;L)'!AJ29))</f>
        <v>0.192520554787927</v>
      </c>
      <c r="AK50" s="37" t="n">
        <f aca="false">IF(('손익계산서(P&amp;L)'!AK5+'손익계산서(P&amp;L)'!AK29)=0,0,'손익계산서(P&amp;L)'!AK29/('손익계산서(P&amp;L)'!AK5+'손익계산서(P&amp;L)'!AK29))</f>
        <v>0.200556735469827</v>
      </c>
      <c r="AL50" s="37" t="n">
        <f aca="false">IF(('손익계산서(P&amp;L)'!AL5+'손익계산서(P&amp;L)'!AL29)=0,0,'손익계산서(P&amp;L)'!AL29/('손익계산서(P&amp;L)'!AL5+'손익계산서(P&amp;L)'!AL29))</f>
        <v>0.18538289475506</v>
      </c>
      <c r="AM50" s="37" t="n">
        <f aca="false">IF(('손익계산서(P&amp;L)'!AM5+'손익계산서(P&amp;L)'!AM29)=0,0,'손익계산서(P&amp;L)'!AM29/('손익계산서(P&amp;L)'!AM5+'손익계산서(P&amp;L)'!AM29))</f>
        <v>0.178620487405966</v>
      </c>
      <c r="AN50" s="37" t="n">
        <f aca="false">IF(('손익계산서(P&amp;L)'!AN5+'손익계산서(P&amp;L)'!AN29)=0,0,'손익계산서(P&amp;L)'!AN29/('손익계산서(P&amp;L)'!AN5+'손익계산서(P&amp;L)'!AN29))</f>
        <v>0.162247463217816</v>
      </c>
      <c r="AO50" s="37" t="n">
        <f aca="false">IF(('손익계산서(P&amp;L)'!AO5+'손익계산서(P&amp;L)'!AO29)=0,0,'손익계산서(P&amp;L)'!AO29/('손익계산서(P&amp;L)'!AO5+'손익계산서(P&amp;L)'!AO29))</f>
        <v>0.123063812047716</v>
      </c>
      <c r="AP50" s="37" t="n">
        <f aca="false">IF(('손익계산서(P&amp;L)'!AP5+'손익계산서(P&amp;L)'!AP29)=0,0,'손익계산서(P&amp;L)'!AP29/('손익계산서(P&amp;L)'!AP5+'손익계산서(P&amp;L)'!AP29))</f>
        <v>0.388181209715087</v>
      </c>
      <c r="AQ50" s="37" t="n">
        <f aca="false">IF(('손익계산서(P&amp;L)'!AQ5+'손익계산서(P&amp;L)'!AQ29)=0,0,'손익계산서(P&amp;L)'!AQ29/('손익계산서(P&amp;L)'!AQ5+'손익계산서(P&amp;L)'!AQ29))</f>
        <v>0.230819679665371</v>
      </c>
      <c r="AR50" s="37" t="n">
        <f aca="false">IF(('손익계산서(P&amp;L)'!AR5+'손익계산서(P&amp;L)'!AR29)=0,0,'손익계산서(P&amp;L)'!AR29/('손익계산서(P&amp;L)'!AR5+'손익계산서(P&amp;L)'!AR29))</f>
        <v>0.213965493194279</v>
      </c>
      <c r="AS50" s="37" t="n">
        <f aca="false">IF(('손익계산서(P&amp;L)'!AS5+'손익계산서(P&amp;L)'!AS29)=0,0,'손익계산서(P&amp;L)'!AS29/('손익계산서(P&amp;L)'!AS5+'손익계산서(P&amp;L)'!AS29))</f>
        <v>0.158215374480625</v>
      </c>
      <c r="AT50" s="2" t="s">
        <v>457</v>
      </c>
    </row>
    <row r="51" customFormat="false" ht="15" hidden="false" customHeight="false" outlineLevel="0" collapsed="false">
      <c r="A51" s="30" t="s">
        <v>449</v>
      </c>
      <c r="B51" s="2" t="s">
        <v>458</v>
      </c>
      <c r="C51" s="2" t="s">
        <v>384</v>
      </c>
      <c r="D51" s="2"/>
      <c r="F51" s="8" t="n">
        <f aca="false">'현금흐름표(CF)'!F5-'손익계산서(P&amp;L)'!F29</f>
        <v>-4593049</v>
      </c>
      <c r="G51" s="8" t="n">
        <f aca="false">'현금흐름표(CF)'!G5-'손익계산서(P&amp;L)'!G29</f>
        <v>-7136160</v>
      </c>
      <c r="H51" s="8" t="n">
        <f aca="false">'현금흐름표(CF)'!H5-'손익계산서(P&amp;L)'!H29</f>
        <v>-6645960</v>
      </c>
      <c r="I51" s="8" t="n">
        <f aca="false">'현금흐름표(CF)'!I5-'손익계산서(P&amp;L)'!I29</f>
        <v>-4264452</v>
      </c>
      <c r="J51" s="8" t="n">
        <f aca="false">'현금흐름표(CF)'!J5-'손익계산서(P&amp;L)'!J29</f>
        <v>-4203479</v>
      </c>
      <c r="K51" s="8" t="n">
        <f aca="false">'현금흐름표(CF)'!K5-'손익계산서(P&amp;L)'!K29</f>
        <v>-2208086</v>
      </c>
      <c r="L51" s="8" t="n">
        <f aca="false">'현금흐름표(CF)'!L5-'손익계산서(P&amp;L)'!L29</f>
        <v>-4691139</v>
      </c>
      <c r="M51" s="8" t="n">
        <f aca="false">'현금흐름표(CF)'!M5-'손익계산서(P&amp;L)'!M29</f>
        <v>-1118860</v>
      </c>
      <c r="N51" s="8" t="n">
        <f aca="false">'현금흐름표(CF)'!N5-'손익계산서(P&amp;L)'!N29</f>
        <v>-19542529</v>
      </c>
      <c r="O51" s="8" t="n">
        <f aca="false">'현금흐름표(CF)'!O5-'손익계산서(P&amp;L)'!O29</f>
        <v>-12568305</v>
      </c>
      <c r="P51" s="8" t="n">
        <f aca="false">'현금흐름표(CF)'!P5-'손익계산서(P&amp;L)'!P29</f>
        <v>-6723648</v>
      </c>
      <c r="Q51" s="8" t="n">
        <f aca="false">'현금흐름표(CF)'!Q5-'손익계산서(P&amp;L)'!Q29</f>
        <v>-22263294</v>
      </c>
      <c r="R51" s="8" t="n">
        <f aca="false">'현금흐름표(CF)'!R5-'손익계산서(P&amp;L)'!R29</f>
        <v>-2293214</v>
      </c>
      <c r="S51" s="8" t="n">
        <f aca="false">'현금흐름표(CF)'!S5-'손익계산서(P&amp;L)'!S29</f>
        <v>-18627272</v>
      </c>
      <c r="T51" s="8" t="n">
        <f aca="false">'현금흐름표(CF)'!T5-'손익계산서(P&amp;L)'!T29</f>
        <v>-21142555</v>
      </c>
      <c r="U51" s="8" t="n">
        <f aca="false">'현금흐름표(CF)'!U5-'손익계산서(P&amp;L)'!U29</f>
        <v>-15355848</v>
      </c>
      <c r="V51" s="8" t="n">
        <f aca="false">'현금흐름표(CF)'!V5-'손익계산서(P&amp;L)'!V29</f>
        <v>-9822626</v>
      </c>
      <c r="W51" s="8" t="n">
        <f aca="false">'현금흐름표(CF)'!W5-'손익계산서(P&amp;L)'!W29</f>
        <v>-15573736</v>
      </c>
      <c r="X51" s="8" t="n">
        <f aca="false">'현금흐름표(CF)'!X5-'손익계산서(P&amp;L)'!X29</f>
        <v>-1653091</v>
      </c>
      <c r="Y51" s="8" t="n">
        <f aca="false">'현금흐름표(CF)'!Y5-'손익계산서(P&amp;L)'!Y29</f>
        <v>-20630590</v>
      </c>
      <c r="Z51" s="8" t="n">
        <f aca="false">'현금흐름표(CF)'!Z5-'손익계산서(P&amp;L)'!Z29</f>
        <v>-18531822</v>
      </c>
      <c r="AA51" s="8" t="n">
        <f aca="false">'현금흐름표(CF)'!AA5-'손익계산서(P&amp;L)'!AA29</f>
        <v>-14224153</v>
      </c>
      <c r="AB51" s="8" t="n">
        <f aca="false">'현금흐름표(CF)'!AB5-'손익계산서(P&amp;L)'!AB29</f>
        <v>-9273738</v>
      </c>
      <c r="AC51" s="8" t="n">
        <f aca="false">'현금흐름표(CF)'!AC5-'손익계산서(P&amp;L)'!AC29</f>
        <v>-22791437</v>
      </c>
      <c r="AD51" s="8" t="n">
        <f aca="false">'현금흐름표(CF)'!AD5-'손익계산서(P&amp;L)'!AD29</f>
        <v>43339360</v>
      </c>
      <c r="AE51" s="8" t="n">
        <f aca="false">'현금흐름표(CF)'!AE5-'손익계산서(P&amp;L)'!AE29</f>
        <v>-22584219</v>
      </c>
      <c r="AF51" s="8" t="n">
        <f aca="false">'현금흐름표(CF)'!AF5-'손익계산서(P&amp;L)'!AF29</f>
        <v>-23841110</v>
      </c>
      <c r="AG51" s="8" t="n">
        <f aca="false">'현금흐름표(CF)'!AG5-'손익계산서(P&amp;L)'!AG29</f>
        <v>-6091525</v>
      </c>
      <c r="AH51" s="8" t="n">
        <f aca="false">'현금흐름표(CF)'!AH5-'손익계산서(P&amp;L)'!AH29</f>
        <v>-2899924</v>
      </c>
      <c r="AI51" s="8" t="n">
        <f aca="false">'현금흐름표(CF)'!AI5-'손익계산서(P&amp;L)'!AI29</f>
        <v>-22017892</v>
      </c>
      <c r="AJ51" s="8" t="n">
        <f aca="false">'현금흐름표(CF)'!AJ5-'손익계산서(P&amp;L)'!AJ29</f>
        <v>20824774</v>
      </c>
      <c r="AK51" s="8" t="n">
        <f aca="false">'현금흐름표(CF)'!AK5-'손익계산서(P&amp;L)'!AK29</f>
        <v>-23451260</v>
      </c>
      <c r="AL51" s="8" t="n">
        <f aca="false">'현금흐름표(CF)'!AL5-'손익계산서(P&amp;L)'!AL29</f>
        <v>-22720660</v>
      </c>
      <c r="AM51" s="8" t="n">
        <f aca="false">'현금흐름표(CF)'!AM5-'손익계산서(P&amp;L)'!AM29</f>
        <v>-7819095</v>
      </c>
      <c r="AN51" s="8" t="n">
        <f aca="false">'현금흐름표(CF)'!AN5-'손익계산서(P&amp;L)'!AN29</f>
        <v>6187858</v>
      </c>
      <c r="AO51" s="8" t="n">
        <f aca="false">'현금흐름표(CF)'!AO5-'손익계산서(P&amp;L)'!AO29</f>
        <v>-15968546</v>
      </c>
      <c r="AP51" s="8" t="n">
        <f aca="false">SUM(F51:M51)</f>
        <v>-34861185</v>
      </c>
      <c r="AQ51" s="8" t="n">
        <f aca="false">SUM(N51:Y51)</f>
        <v>-166196708</v>
      </c>
      <c r="AR51" s="8" t="n">
        <f aca="false">SUM(Z51:AK51)</f>
        <v>-101542946</v>
      </c>
      <c r="AS51" s="8" t="n">
        <f aca="false">SUM(AL51:AO51)</f>
        <v>-40320443</v>
      </c>
      <c r="AT5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48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8"/>
    <col collapsed="false" customWidth="true" hidden="false" outlineLevel="0" max="7" min="7" style="0" width="46"/>
  </cols>
  <sheetData>
    <row r="1" customFormat="false" ht="17.15" hidden="false" customHeight="false" outlineLevel="0" collapsed="false">
      <c r="A1" s="1" t="s">
        <v>459</v>
      </c>
    </row>
    <row r="2" customFormat="false" ht="15" hidden="false" customHeight="false" outlineLevel="0" collapsed="false">
      <c r="A2" s="24" t="s">
        <v>460</v>
      </c>
    </row>
    <row r="4" customFormat="false" ht="15" hidden="false" customHeight="false" outlineLevel="0" collapsed="false">
      <c r="A4" s="5" t="s">
        <v>369</v>
      </c>
      <c r="B4" s="5" t="s">
        <v>461</v>
      </c>
      <c r="C4" s="6" t="s">
        <v>462</v>
      </c>
      <c r="D4" s="6" t="s">
        <v>463</v>
      </c>
      <c r="E4" s="6" t="s">
        <v>464</v>
      </c>
      <c r="F4" s="5" t="s">
        <v>371</v>
      </c>
      <c r="G4" s="5" t="s">
        <v>465</v>
      </c>
    </row>
    <row r="5" customFormat="false" ht="15" hidden="false" customHeight="false" outlineLevel="0" collapsed="false">
      <c r="A5" s="39" t="s">
        <v>466</v>
      </c>
      <c r="B5" s="39" t="s">
        <v>467</v>
      </c>
      <c r="C5" s="40" t="s">
        <v>468</v>
      </c>
      <c r="D5" s="41" t="s">
        <v>469</v>
      </c>
      <c r="E5" s="41" t="s">
        <v>469</v>
      </c>
      <c r="F5" s="39" t="s">
        <v>384</v>
      </c>
      <c r="G5" s="39" t="s">
        <v>470</v>
      </c>
    </row>
    <row r="6" customFormat="false" ht="15" hidden="false" customHeight="false" outlineLevel="0" collapsed="false">
      <c r="A6" s="39" t="s">
        <v>466</v>
      </c>
      <c r="B6" s="39" t="s">
        <v>471</v>
      </c>
      <c r="C6" s="42" t="s">
        <v>472</v>
      </c>
      <c r="D6" s="41" t="s">
        <v>469</v>
      </c>
      <c r="E6" s="41" t="s">
        <v>469</v>
      </c>
      <c r="F6" s="39" t="s">
        <v>384</v>
      </c>
      <c r="G6" s="39"/>
    </row>
    <row r="7" customFormat="false" ht="15" hidden="false" customHeight="false" outlineLevel="0" collapsed="false">
      <c r="A7" s="39" t="s">
        <v>466</v>
      </c>
      <c r="B7" s="39" t="s">
        <v>473</v>
      </c>
      <c r="C7" s="42" t="s">
        <v>474</v>
      </c>
      <c r="D7" s="42" t="s">
        <v>475</v>
      </c>
      <c r="E7" s="42" t="s">
        <v>476</v>
      </c>
      <c r="F7" s="43" t="s">
        <v>401</v>
      </c>
      <c r="G7" s="39" t="s">
        <v>477</v>
      </c>
    </row>
    <row r="8" customFormat="false" ht="15" hidden="false" customHeight="false" outlineLevel="0" collapsed="false">
      <c r="A8" s="39" t="s">
        <v>466</v>
      </c>
      <c r="B8" s="43" t="s">
        <v>478</v>
      </c>
      <c r="C8" s="42" t="s">
        <v>479</v>
      </c>
      <c r="D8" s="42" t="s">
        <v>480</v>
      </c>
      <c r="E8" s="42" t="s">
        <v>481</v>
      </c>
      <c r="F8" s="43" t="s">
        <v>401</v>
      </c>
      <c r="G8" s="39"/>
    </row>
    <row r="9" customFormat="false" ht="15" hidden="false" customHeight="false" outlineLevel="0" collapsed="false">
      <c r="A9" s="39" t="s">
        <v>466</v>
      </c>
      <c r="B9" s="39" t="s">
        <v>482</v>
      </c>
      <c r="C9" s="42" t="s">
        <v>483</v>
      </c>
      <c r="D9" s="42" t="s">
        <v>484</v>
      </c>
      <c r="E9" s="42" t="s">
        <v>485</v>
      </c>
      <c r="F9" s="43" t="s">
        <v>486</v>
      </c>
      <c r="G9" s="39" t="s">
        <v>487</v>
      </c>
    </row>
    <row r="10" customFormat="false" ht="15" hidden="false" customHeight="false" outlineLevel="0" collapsed="false">
      <c r="A10" s="39" t="s">
        <v>466</v>
      </c>
      <c r="B10" s="39" t="s">
        <v>488</v>
      </c>
      <c r="C10" s="42" t="s">
        <v>489</v>
      </c>
      <c r="D10" s="42" t="s">
        <v>490</v>
      </c>
      <c r="E10" s="42" t="s">
        <v>491</v>
      </c>
      <c r="F10" s="43" t="s">
        <v>401</v>
      </c>
      <c r="G10" s="39"/>
    </row>
    <row r="11" customFormat="false" ht="15" hidden="false" customHeight="false" outlineLevel="0" collapsed="false">
      <c r="A11" s="39" t="s">
        <v>466</v>
      </c>
      <c r="B11" s="39" t="s">
        <v>492</v>
      </c>
      <c r="C11" s="42" t="s">
        <v>493</v>
      </c>
      <c r="D11" s="42" t="s">
        <v>494</v>
      </c>
      <c r="E11" s="42" t="s">
        <v>494</v>
      </c>
      <c r="F11" s="39" t="s">
        <v>495</v>
      </c>
      <c r="G11" s="39" t="s">
        <v>496</v>
      </c>
    </row>
    <row r="12" customFormat="false" ht="15" hidden="false" customHeight="false" outlineLevel="0" collapsed="false">
      <c r="A12" s="39" t="s">
        <v>466</v>
      </c>
      <c r="B12" s="39" t="s">
        <v>497</v>
      </c>
      <c r="C12" s="41" t="s">
        <v>498</v>
      </c>
      <c r="D12" s="42" t="s">
        <v>499</v>
      </c>
      <c r="E12" s="42" t="s">
        <v>500</v>
      </c>
      <c r="F12" s="43" t="s">
        <v>401</v>
      </c>
      <c r="G12" s="39" t="s">
        <v>501</v>
      </c>
    </row>
    <row r="13" customFormat="false" ht="26.85" hidden="false" customHeight="false" outlineLevel="0" collapsed="false">
      <c r="A13" s="39" t="s">
        <v>466</v>
      </c>
      <c r="B13" s="39" t="s">
        <v>502</v>
      </c>
      <c r="C13" s="42" t="s">
        <v>503</v>
      </c>
      <c r="D13" s="42" t="s">
        <v>504</v>
      </c>
      <c r="E13" s="42" t="s">
        <v>505</v>
      </c>
      <c r="F13" s="39" t="s">
        <v>403</v>
      </c>
      <c r="G13" s="39" t="s">
        <v>506</v>
      </c>
    </row>
    <row r="14" customFormat="false" ht="25.35" hidden="false" customHeight="false" outlineLevel="0" collapsed="false">
      <c r="A14" s="39" t="s">
        <v>507</v>
      </c>
      <c r="B14" s="43" t="s">
        <v>508</v>
      </c>
      <c r="C14" s="41" t="s">
        <v>509</v>
      </c>
      <c r="D14" s="42" t="s">
        <v>510</v>
      </c>
      <c r="E14" s="42" t="s">
        <v>511</v>
      </c>
      <c r="F14" s="43" t="s">
        <v>401</v>
      </c>
      <c r="G14" s="39"/>
    </row>
    <row r="15" customFormat="false" ht="15" hidden="false" customHeight="false" outlineLevel="0" collapsed="false">
      <c r="A15" s="39" t="s">
        <v>507</v>
      </c>
      <c r="B15" s="39" t="s">
        <v>512</v>
      </c>
      <c r="C15" s="41" t="s">
        <v>513</v>
      </c>
      <c r="D15" s="41" t="s">
        <v>469</v>
      </c>
      <c r="E15" s="42" t="s">
        <v>514</v>
      </c>
      <c r="F15" s="43" t="s">
        <v>401</v>
      </c>
      <c r="G15" s="39"/>
    </row>
    <row r="16" customFormat="false" ht="15" hidden="false" customHeight="false" outlineLevel="0" collapsed="false">
      <c r="A16" s="39" t="s">
        <v>515</v>
      </c>
      <c r="B16" s="39" t="s">
        <v>516</v>
      </c>
      <c r="C16" s="41" t="s">
        <v>517</v>
      </c>
      <c r="D16" s="42" t="s">
        <v>518</v>
      </c>
      <c r="E16" s="42" t="s">
        <v>519</v>
      </c>
      <c r="F16" s="39" t="s">
        <v>376</v>
      </c>
      <c r="G16" s="39" t="s">
        <v>520</v>
      </c>
    </row>
    <row r="17" customFormat="false" ht="25.35" hidden="false" customHeight="false" outlineLevel="0" collapsed="false">
      <c r="A17" s="39" t="s">
        <v>521</v>
      </c>
      <c r="B17" s="43" t="s">
        <v>522</v>
      </c>
      <c r="C17" s="42" t="s">
        <v>523</v>
      </c>
      <c r="D17" s="42" t="s">
        <v>524</v>
      </c>
      <c r="E17" s="42" t="s">
        <v>525</v>
      </c>
      <c r="F17" s="39" t="s">
        <v>526</v>
      </c>
      <c r="G17" s="39" t="s">
        <v>527</v>
      </c>
    </row>
    <row r="18" customFormat="false" ht="15" hidden="false" customHeight="false" outlineLevel="0" collapsed="false">
      <c r="A18" s="39" t="s">
        <v>521</v>
      </c>
      <c r="B18" s="43" t="s">
        <v>528</v>
      </c>
      <c r="C18" s="41" t="s">
        <v>529</v>
      </c>
      <c r="D18" s="42" t="s">
        <v>530</v>
      </c>
      <c r="E18" s="42" t="s">
        <v>531</v>
      </c>
      <c r="F18" s="43" t="s">
        <v>401</v>
      </c>
      <c r="G18" s="39"/>
    </row>
    <row r="19" customFormat="false" ht="15" hidden="false" customHeight="false" outlineLevel="0" collapsed="false">
      <c r="A19" s="39" t="s">
        <v>532</v>
      </c>
      <c r="B19" s="39" t="s">
        <v>533</v>
      </c>
      <c r="C19" s="42" t="s">
        <v>534</v>
      </c>
      <c r="D19" s="41" t="s">
        <v>469</v>
      </c>
      <c r="E19" s="41" t="s">
        <v>469</v>
      </c>
      <c r="F19" s="39" t="s">
        <v>376</v>
      </c>
      <c r="G19" s="39"/>
    </row>
    <row r="20" customFormat="false" ht="15" hidden="false" customHeight="false" outlineLevel="0" collapsed="false">
      <c r="A20" s="39" t="s">
        <v>532</v>
      </c>
      <c r="B20" s="43" t="s">
        <v>535</v>
      </c>
      <c r="C20" s="42" t="s">
        <v>536</v>
      </c>
      <c r="D20" s="42" t="s">
        <v>537</v>
      </c>
      <c r="E20" s="42" t="s">
        <v>538</v>
      </c>
      <c r="F20" s="39" t="s">
        <v>384</v>
      </c>
      <c r="G20" s="39"/>
    </row>
    <row r="21" customFormat="false" ht="26.85" hidden="false" customHeight="false" outlineLevel="0" collapsed="false">
      <c r="A21" s="39" t="s">
        <v>532</v>
      </c>
      <c r="B21" s="39" t="s">
        <v>182</v>
      </c>
      <c r="C21" s="42" t="s">
        <v>539</v>
      </c>
      <c r="D21" s="42" t="s">
        <v>494</v>
      </c>
      <c r="E21" s="42" t="s">
        <v>494</v>
      </c>
      <c r="F21" s="39" t="s">
        <v>526</v>
      </c>
      <c r="G21" s="39"/>
    </row>
    <row r="22" customFormat="false" ht="26.85" hidden="false" customHeight="false" outlineLevel="0" collapsed="false">
      <c r="A22" s="39" t="s">
        <v>540</v>
      </c>
      <c r="B22" s="39" t="s">
        <v>541</v>
      </c>
      <c r="C22" s="41" t="s">
        <v>542</v>
      </c>
      <c r="D22" s="41" t="s">
        <v>469</v>
      </c>
      <c r="E22" s="42" t="s">
        <v>543</v>
      </c>
      <c r="F22" s="39" t="s">
        <v>526</v>
      </c>
      <c r="G22" s="39" t="s">
        <v>544</v>
      </c>
    </row>
    <row r="23" customFormat="false" ht="26.85" hidden="false" customHeight="false" outlineLevel="0" collapsed="false">
      <c r="A23" s="39" t="s">
        <v>545</v>
      </c>
      <c r="B23" s="39" t="s">
        <v>546</v>
      </c>
      <c r="C23" s="42" t="s">
        <v>547</v>
      </c>
      <c r="D23" s="41" t="s">
        <v>548</v>
      </c>
      <c r="E23" s="41" t="s">
        <v>549</v>
      </c>
      <c r="F23" s="39" t="s">
        <v>384</v>
      </c>
      <c r="G23" s="39"/>
    </row>
    <row r="24" customFormat="false" ht="26.85" hidden="false" customHeight="false" outlineLevel="0" collapsed="false">
      <c r="A24" s="39" t="s">
        <v>550</v>
      </c>
      <c r="B24" s="39" t="s">
        <v>551</v>
      </c>
      <c r="C24" s="41" t="s">
        <v>552</v>
      </c>
      <c r="D24" s="42" t="s">
        <v>494</v>
      </c>
      <c r="E24" s="41" t="s">
        <v>553</v>
      </c>
      <c r="F24" s="39" t="s">
        <v>554</v>
      </c>
      <c r="G24" s="3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30"/>
    <col collapsed="false" customWidth="true" hidden="false" outlineLevel="0" max="4" min="4" style="0" width="80"/>
    <col collapsed="false" customWidth="true" hidden="false" outlineLevel="0" max="5" min="5" style="0" width="40"/>
  </cols>
  <sheetData>
    <row r="1" customFormat="false" ht="16.15" hidden="false" customHeight="false" outlineLevel="0" collapsed="false">
      <c r="A1" s="1" t="s">
        <v>555</v>
      </c>
    </row>
    <row r="3" customFormat="false" ht="15" hidden="false" customHeight="false" outlineLevel="0" collapsed="false">
      <c r="A3" s="6" t="s">
        <v>556</v>
      </c>
      <c r="B3" s="5" t="s">
        <v>557</v>
      </c>
      <c r="C3" s="5" t="s">
        <v>558</v>
      </c>
      <c r="D3" s="5" t="s">
        <v>559</v>
      </c>
      <c r="E3" s="5" t="s">
        <v>560</v>
      </c>
    </row>
    <row r="4" customFormat="false" ht="39.55" hidden="false" customHeight="false" outlineLevel="0" collapsed="false">
      <c r="A4" s="39" t="n">
        <v>1</v>
      </c>
      <c r="B4" s="39" t="s">
        <v>561</v>
      </c>
      <c r="C4" s="39" t="s">
        <v>562</v>
      </c>
      <c r="D4" s="43" t="s">
        <v>563</v>
      </c>
      <c r="E4" s="39" t="s">
        <v>564</v>
      </c>
    </row>
    <row r="5" customFormat="false" ht="39.55" hidden="false" customHeight="false" outlineLevel="0" collapsed="false">
      <c r="A5" s="39" t="n">
        <v>2</v>
      </c>
      <c r="B5" s="39" t="s">
        <v>565</v>
      </c>
      <c r="C5" s="39" t="s">
        <v>566</v>
      </c>
      <c r="D5" s="39" t="s">
        <v>567</v>
      </c>
      <c r="E5" s="39" t="s">
        <v>568</v>
      </c>
    </row>
    <row r="6" customFormat="false" ht="39.55" hidden="false" customHeight="false" outlineLevel="0" collapsed="false">
      <c r="A6" s="39" t="n">
        <v>3</v>
      </c>
      <c r="B6" s="39" t="s">
        <v>569</v>
      </c>
      <c r="C6" s="39" t="s">
        <v>570</v>
      </c>
      <c r="D6" s="39" t="s">
        <v>571</v>
      </c>
      <c r="E6" s="39" t="s">
        <v>572</v>
      </c>
    </row>
    <row r="7" customFormat="false" ht="26.85" hidden="false" customHeight="false" outlineLevel="0" collapsed="false">
      <c r="A7" s="39" t="n">
        <v>4</v>
      </c>
      <c r="B7" s="43" t="s">
        <v>573</v>
      </c>
      <c r="C7" s="39" t="s">
        <v>574</v>
      </c>
      <c r="D7" s="39" t="s">
        <v>575</v>
      </c>
      <c r="E7" s="43" t="s">
        <v>576</v>
      </c>
    </row>
    <row r="8" customFormat="false" ht="26.85" hidden="false" customHeight="false" outlineLevel="0" collapsed="false">
      <c r="A8" s="39" t="n">
        <v>5</v>
      </c>
      <c r="B8" s="39" t="s">
        <v>577</v>
      </c>
      <c r="C8" s="39" t="s">
        <v>578</v>
      </c>
      <c r="D8" s="39" t="s">
        <v>579</v>
      </c>
      <c r="E8" s="39" t="s">
        <v>580</v>
      </c>
    </row>
    <row r="9" customFormat="false" ht="26.85" hidden="false" customHeight="false" outlineLevel="0" collapsed="false">
      <c r="A9" s="39" t="n">
        <v>6</v>
      </c>
      <c r="B9" s="39" t="s">
        <v>581</v>
      </c>
      <c r="C9" s="43" t="s">
        <v>582</v>
      </c>
      <c r="D9" s="39" t="s">
        <v>583</v>
      </c>
      <c r="E9" s="39" t="s">
        <v>584</v>
      </c>
    </row>
    <row r="10" customFormat="false" ht="26.85" hidden="false" customHeight="false" outlineLevel="0" collapsed="false">
      <c r="A10" s="39" t="n">
        <v>7</v>
      </c>
      <c r="B10" s="43" t="s">
        <v>585</v>
      </c>
      <c r="C10" s="43" t="s">
        <v>586</v>
      </c>
      <c r="D10" s="43" t="s">
        <v>587</v>
      </c>
      <c r="E10" s="43" t="s">
        <v>588</v>
      </c>
    </row>
    <row r="11" customFormat="false" ht="26.85" hidden="false" customHeight="false" outlineLevel="0" collapsed="false">
      <c r="A11" s="39" t="n">
        <v>8</v>
      </c>
      <c r="B11" s="43" t="s">
        <v>589</v>
      </c>
      <c r="C11" s="43" t="s">
        <v>590</v>
      </c>
      <c r="D11" s="39" t="s">
        <v>591</v>
      </c>
      <c r="E11" s="39" t="s">
        <v>592</v>
      </c>
    </row>
    <row r="12" customFormat="false" ht="39.55" hidden="false" customHeight="false" outlineLevel="0" collapsed="false">
      <c r="A12" s="39" t="n">
        <v>9</v>
      </c>
      <c r="B12" s="39" t="s">
        <v>593</v>
      </c>
      <c r="C12" s="39" t="s">
        <v>594</v>
      </c>
      <c r="D12" s="43" t="s">
        <v>595</v>
      </c>
      <c r="E12" s="39" t="s">
        <v>596</v>
      </c>
    </row>
    <row r="13" customFormat="false" ht="26.85" hidden="false" customHeight="false" outlineLevel="0" collapsed="false">
      <c r="A13" s="39" t="n">
        <v>10</v>
      </c>
      <c r="B13" s="39" t="s">
        <v>597</v>
      </c>
      <c r="C13" s="43" t="s">
        <v>598</v>
      </c>
      <c r="D13" s="39" t="s">
        <v>599</v>
      </c>
      <c r="E13" s="39" t="s">
        <v>600</v>
      </c>
    </row>
    <row r="14" customFormat="false" ht="39.55" hidden="false" customHeight="false" outlineLevel="0" collapsed="false">
      <c r="A14" s="39" t="n">
        <v>11</v>
      </c>
      <c r="B14" s="43" t="s">
        <v>601</v>
      </c>
      <c r="C14" s="39" t="s">
        <v>602</v>
      </c>
      <c r="D14" s="43" t="s">
        <v>603</v>
      </c>
      <c r="E14" s="39" t="s">
        <v>604</v>
      </c>
    </row>
    <row r="15" customFormat="false" ht="26.85" hidden="false" customHeight="false" outlineLevel="0" collapsed="false">
      <c r="A15" s="39" t="n">
        <v>12</v>
      </c>
      <c r="B15" s="43" t="s">
        <v>605</v>
      </c>
      <c r="C15" s="39" t="s">
        <v>606</v>
      </c>
      <c r="D15" s="39" t="s">
        <v>607</v>
      </c>
      <c r="E15" s="43" t="s">
        <v>608</v>
      </c>
    </row>
    <row r="16" customFormat="false" ht="26.85" hidden="false" customHeight="false" outlineLevel="0" collapsed="false">
      <c r="A16" s="39" t="n">
        <v>13</v>
      </c>
      <c r="B16" s="39" t="s">
        <v>609</v>
      </c>
      <c r="C16" s="39" t="s">
        <v>610</v>
      </c>
      <c r="D16" s="39" t="s">
        <v>611</v>
      </c>
      <c r="E16" s="39" t="s">
        <v>612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2026-10-23T12:42:26Z</dcterms:created>
  <dc:creator>openpyxl</dc:creator>
  <dc:description/>
  <dc:language>en-US</dc:language>
  <cp:lastModifiedBy/>
  <dcterms:modified xsi:type="dcterms:W3CDTF">2026-10-23T12:42:26Z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